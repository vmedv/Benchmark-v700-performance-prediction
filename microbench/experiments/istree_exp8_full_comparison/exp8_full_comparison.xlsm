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gitlab_setbench\microbench\experiments\istree_exp8_full_comparison\"/>
    </mc:Choice>
  </mc:AlternateContent>
  <bookViews>
    <workbookView xWindow="0" yWindow="0" windowWidth="28054" windowHeight="11811" activeTab="4"/>
  </bookViews>
  <sheets>
    <sheet name="instructions" sheetId="3" r:id="rId1"/>
    <sheet name="data" sheetId="2" r:id="rId2"/>
    <sheet name="maxresident (no)" sheetId="4" state="hidden" r:id="rId3"/>
    <sheet name="cycles (maybe no)" sheetId="6" state="hidden" r:id="rId4"/>
    <sheet name="throughput" sheetId="1" r:id="rId5"/>
    <sheet name="height (no)" sheetId="7" state="hidden" r:id="rId6"/>
    <sheet name="prefilling (no)" sheetId="9" state="hidden" r:id="rId7"/>
    <sheet name="cycle_breakdown (replaced)" sheetId="10" state="hidden" r:id="rId8"/>
  </sheets>
  <functionGroups builtInGroupCount="18"/>
  <definedNames>
    <definedName name="_xlnm._FilterDatabase" localSheetId="1" hidden="1">data!$A$1:$BG$641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62913"/>
  <pivotCaches>
    <pivotCache cacheId="47"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7" i="1" l="1"/>
  <c r="G77" i="1"/>
  <c r="H77" i="1"/>
  <c r="I77" i="1"/>
  <c r="F83" i="1"/>
  <c r="G83" i="1"/>
  <c r="H83" i="1"/>
  <c r="I83" i="1"/>
  <c r="F50" i="1"/>
  <c r="G50" i="1"/>
  <c r="H50" i="1"/>
  <c r="I50" i="1"/>
  <c r="F56" i="1"/>
  <c r="G56" i="1"/>
  <c r="H56" i="1"/>
  <c r="I56" i="1"/>
  <c r="G21" i="1"/>
  <c r="G78" i="1" s="1"/>
  <c r="H21" i="1"/>
  <c r="H78" i="1" s="1"/>
  <c r="I21" i="1"/>
  <c r="I51" i="1" s="1"/>
  <c r="G22" i="1"/>
  <c r="G52" i="1" s="1"/>
  <c r="H22" i="1"/>
  <c r="H79" i="1" s="1"/>
  <c r="I22" i="1"/>
  <c r="I79" i="1" s="1"/>
  <c r="G23" i="1"/>
  <c r="G53" i="1" s="1"/>
  <c r="H23" i="1"/>
  <c r="H53" i="1" s="1"/>
  <c r="I23" i="1"/>
  <c r="I53" i="1" s="1"/>
  <c r="G24" i="1"/>
  <c r="G81" i="1" s="1"/>
  <c r="H24" i="1"/>
  <c r="H81" i="1" s="1"/>
  <c r="I24" i="1"/>
  <c r="I81" i="1" s="1"/>
  <c r="G25" i="1"/>
  <c r="G82" i="1" s="1"/>
  <c r="H25" i="1"/>
  <c r="H82" i="1" s="1"/>
  <c r="I25" i="1"/>
  <c r="I82" i="1" s="1"/>
  <c r="BF3" i="2"/>
  <c r="BG3" i="2"/>
  <c r="BF4" i="2"/>
  <c r="BG4" i="2"/>
  <c r="BF5" i="2"/>
  <c r="BG5" i="2"/>
  <c r="BF6" i="2"/>
  <c r="BG6" i="2"/>
  <c r="BF7" i="2"/>
  <c r="BG7" i="2"/>
  <c r="BF8" i="2"/>
  <c r="BG8" i="2"/>
  <c r="BF9" i="2"/>
  <c r="BG9" i="2"/>
  <c r="BF10" i="2"/>
  <c r="BG10" i="2"/>
  <c r="BF11" i="2"/>
  <c r="BG11" i="2"/>
  <c r="BF12" i="2"/>
  <c r="BG12" i="2"/>
  <c r="BF13" i="2"/>
  <c r="BG13" i="2"/>
  <c r="BF14" i="2"/>
  <c r="BG14" i="2"/>
  <c r="BF15" i="2"/>
  <c r="BG15" i="2"/>
  <c r="BF16" i="2"/>
  <c r="BG16" i="2"/>
  <c r="BF17" i="2"/>
  <c r="BG17" i="2"/>
  <c r="BF18" i="2"/>
  <c r="BG18" i="2"/>
  <c r="BF19" i="2"/>
  <c r="BG19" i="2"/>
  <c r="BF20" i="2"/>
  <c r="BG20" i="2"/>
  <c r="BF21" i="2"/>
  <c r="BG21" i="2"/>
  <c r="BF22" i="2"/>
  <c r="BG22" i="2"/>
  <c r="BF23" i="2"/>
  <c r="BG23" i="2"/>
  <c r="BF24" i="2"/>
  <c r="BG24" i="2"/>
  <c r="BF25" i="2"/>
  <c r="BG25" i="2"/>
  <c r="BF26" i="2"/>
  <c r="BG26" i="2"/>
  <c r="BF27" i="2"/>
  <c r="BG27" i="2"/>
  <c r="BF28" i="2"/>
  <c r="BG28" i="2"/>
  <c r="BF29" i="2"/>
  <c r="BG29" i="2"/>
  <c r="BF30" i="2"/>
  <c r="BG30" i="2"/>
  <c r="BF31" i="2"/>
  <c r="BG31" i="2"/>
  <c r="BF32" i="2"/>
  <c r="BG32" i="2"/>
  <c r="BF33" i="2"/>
  <c r="BG33" i="2"/>
  <c r="BF34" i="2"/>
  <c r="BG34" i="2"/>
  <c r="BF35" i="2"/>
  <c r="BG35" i="2"/>
  <c r="BF36" i="2"/>
  <c r="BG36" i="2"/>
  <c r="BF37" i="2"/>
  <c r="BG37" i="2"/>
  <c r="BF38" i="2"/>
  <c r="BG38" i="2"/>
  <c r="BF39" i="2"/>
  <c r="BG39" i="2"/>
  <c r="BF40" i="2"/>
  <c r="BG40" i="2"/>
  <c r="BF41" i="2"/>
  <c r="BG41" i="2"/>
  <c r="BF42" i="2"/>
  <c r="BG42" i="2"/>
  <c r="BF43" i="2"/>
  <c r="BG43" i="2"/>
  <c r="BF44" i="2"/>
  <c r="BG44" i="2"/>
  <c r="BF45" i="2"/>
  <c r="BG45" i="2"/>
  <c r="BF46" i="2"/>
  <c r="BG46" i="2"/>
  <c r="BF47" i="2"/>
  <c r="BG47" i="2"/>
  <c r="BF48" i="2"/>
  <c r="BG48" i="2"/>
  <c r="BF49" i="2"/>
  <c r="BG49" i="2"/>
  <c r="BF50" i="2"/>
  <c r="BG50" i="2"/>
  <c r="BF51" i="2"/>
  <c r="BG51" i="2"/>
  <c r="BF52" i="2"/>
  <c r="BG52" i="2"/>
  <c r="BF53" i="2"/>
  <c r="BG53" i="2"/>
  <c r="BF54" i="2"/>
  <c r="BG54" i="2"/>
  <c r="BF55" i="2"/>
  <c r="BG55" i="2"/>
  <c r="BF56" i="2"/>
  <c r="BG56" i="2"/>
  <c r="BF57" i="2"/>
  <c r="BG57" i="2"/>
  <c r="BF58" i="2"/>
  <c r="BG58" i="2"/>
  <c r="BF59" i="2"/>
  <c r="BG59" i="2"/>
  <c r="BF60" i="2"/>
  <c r="BG60" i="2"/>
  <c r="BF61" i="2"/>
  <c r="BG61" i="2"/>
  <c r="BF62" i="2"/>
  <c r="BG62" i="2"/>
  <c r="BF63" i="2"/>
  <c r="BG63" i="2"/>
  <c r="BF64" i="2"/>
  <c r="BG64" i="2"/>
  <c r="BF65" i="2"/>
  <c r="BG65" i="2"/>
  <c r="BF66" i="2"/>
  <c r="BG66" i="2"/>
  <c r="BF67" i="2"/>
  <c r="BG67" i="2"/>
  <c r="BF68" i="2"/>
  <c r="BG68" i="2"/>
  <c r="BF69" i="2"/>
  <c r="BG69" i="2"/>
  <c r="BF70" i="2"/>
  <c r="BG70" i="2"/>
  <c r="BF71" i="2"/>
  <c r="BG71" i="2"/>
  <c r="BF72" i="2"/>
  <c r="BG72" i="2"/>
  <c r="BF73" i="2"/>
  <c r="BG73" i="2"/>
  <c r="BF74" i="2"/>
  <c r="BG74" i="2"/>
  <c r="BF75" i="2"/>
  <c r="BG75" i="2"/>
  <c r="BF76" i="2"/>
  <c r="BG76" i="2"/>
  <c r="BF77" i="2"/>
  <c r="BG77" i="2"/>
  <c r="BF78" i="2"/>
  <c r="BG78" i="2"/>
  <c r="BF79" i="2"/>
  <c r="BG79" i="2"/>
  <c r="BF80" i="2"/>
  <c r="BG80" i="2"/>
  <c r="BF81" i="2"/>
  <c r="BG81" i="2"/>
  <c r="BF82" i="2"/>
  <c r="BG82" i="2"/>
  <c r="BF83" i="2"/>
  <c r="BG83" i="2"/>
  <c r="BF84" i="2"/>
  <c r="BG84" i="2"/>
  <c r="BF85" i="2"/>
  <c r="BG85" i="2"/>
  <c r="BF86" i="2"/>
  <c r="BG86" i="2"/>
  <c r="BF87" i="2"/>
  <c r="BG87" i="2"/>
  <c r="BF88" i="2"/>
  <c r="BG88" i="2"/>
  <c r="BF89" i="2"/>
  <c r="BG89" i="2"/>
  <c r="BF90" i="2"/>
  <c r="BG90" i="2"/>
  <c r="BF91" i="2"/>
  <c r="BG91" i="2"/>
  <c r="BF92" i="2"/>
  <c r="BG92" i="2"/>
  <c r="BF93" i="2"/>
  <c r="BG93" i="2"/>
  <c r="BF94" i="2"/>
  <c r="BG94" i="2"/>
  <c r="BF95" i="2"/>
  <c r="BG95" i="2"/>
  <c r="BF96" i="2"/>
  <c r="BG96" i="2"/>
  <c r="BF97" i="2"/>
  <c r="BG97" i="2"/>
  <c r="BF98" i="2"/>
  <c r="BG98" i="2"/>
  <c r="BF99" i="2"/>
  <c r="BG99" i="2"/>
  <c r="BF100" i="2"/>
  <c r="BG100" i="2"/>
  <c r="BF101" i="2"/>
  <c r="BG101" i="2"/>
  <c r="BF2" i="2"/>
  <c r="BG2" i="2"/>
  <c r="H55" i="1" l="1"/>
  <c r="G79" i="1"/>
  <c r="I55" i="1"/>
  <c r="I52" i="1"/>
  <c r="I78" i="1"/>
  <c r="H52" i="1"/>
  <c r="G55" i="1"/>
  <c r="G54" i="1"/>
  <c r="G51" i="1"/>
  <c r="H80" i="1"/>
  <c r="G80" i="1"/>
  <c r="I54" i="1"/>
  <c r="H54" i="1"/>
  <c r="H51" i="1"/>
  <c r="I80" i="1"/>
  <c r="B83" i="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A24" i="1" l="1"/>
  <c r="B24" i="1"/>
  <c r="C24" i="1"/>
  <c r="D24" i="1"/>
  <c r="E24" i="1"/>
  <c r="F24" i="1"/>
  <c r="A25" i="1"/>
  <c r="B25" i="1"/>
  <c r="C25" i="1"/>
  <c r="D25" i="1"/>
  <c r="E25" i="1"/>
  <c r="F25" i="1"/>
  <c r="F82" i="1" l="1"/>
  <c r="F55" i="1"/>
  <c r="F54" i="1"/>
  <c r="F81" i="1"/>
  <c r="E55" i="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79" i="1" l="1"/>
  <c r="F52" i="1"/>
  <c r="F80" i="1"/>
  <c r="F53" i="1"/>
  <c r="F51" i="1"/>
  <c r="F78" i="1"/>
  <c r="C52" i="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connection id="1" name="Connection" type="6" refreshedVersion="6" deleted="1" background="1" saveData="1">
    <textPr sourceFile="C:\Users\t35brown\Documents\bitbucket\setbench\microbench\experiments\istree_scaling_threads\data_filtered.csv" comma="1">
      <textFields>
        <textField/>
      </textFields>
    </textPr>
  </connection>
  <connection id="2" name="Connection1" type="6" refreshedVersion="6" deleted="1" background="1" saveData="1">
    <textPr sourceFile="C:\Users\t35brown\Documents\bitbucket\setbench\microbench\experiments\istree_scaling_threads\scaling_threads.csv" comma="1">
      <textFields>
        <textField/>
      </textFields>
    </textPr>
  </connection>
  <connection id="3" name="Connection2" type="6" refreshedVersion="6" deleted="1" background="1" saveData="1">
    <textPr sourceFile="C:\Users\t35brown\Documents\bitbucket\setbench\microbench\experiments\istree_scaling_threads\scaling_threads.csv" comma="1">
      <textFields>
        <textField/>
      </textFields>
    </textPr>
  </connection>
  <connection id="4"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<sst xmlns="http://schemas.openxmlformats.org/spreadsheetml/2006/main" count="1013" uniqueCount="329">
  <si>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</si>
  <si>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</si>
  <si>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</si>
  <si>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</si>
  <si>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</si>
  <si>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</si>
  <si>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</si>
  <si>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</si>
  <si>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</si>
  <si>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</si>
  <si>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</si>
  <si>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</si>
  <si>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</si>
  <si>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</si>
  <si>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</si>
  <si>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</si>
  <si>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</si>
  <si>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</si>
  <si>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</si>
  <si>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</si>
  <si>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</si>
  <si>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</si>
  <si>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</si>
  <si>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</si>
  <si>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</si>
  <si>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</si>
  <si>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</si>
  <si>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</si>
  <si>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</si>
  <si>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</si>
  <si>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</si>
  <si>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</si>
  <si>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</si>
  <si>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</si>
  <si>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</si>
  <si>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</si>
  <si>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</si>
  <si>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</si>
  <si>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</si>
  <si>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</si>
  <si>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</si>
  <si>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</si>
  <si>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</si>
  <si>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</si>
  <si>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</si>
  <si>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</si>
  <si>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</si>
  <si>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</si>
  <si>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</si>
  <si>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</si>
  <si>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</si>
  <si>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</si>
  <si>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</si>
  <si>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</si>
  <si>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</si>
  <si>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</si>
  <si>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</si>
  <si>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</si>
  <si>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</si>
  <si>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</si>
  <si>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</si>
  <si>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</si>
  <si>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</si>
  <si>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</si>
  <si>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</si>
  <si>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</si>
  <si>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</si>
  <si>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</si>
  <si>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</si>
  <si>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</si>
  <si>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</si>
  <si>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</si>
  <si>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</si>
  <si>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</si>
  <si>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</si>
  <si>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</si>
  <si>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</si>
  <si>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</si>
  <si>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</si>
  <si>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</si>
  <si>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</si>
  <si>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</si>
  <si>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PAPI_RES_STL</t>
  </si>
  <si>
    <t>Average of maxresident_mb</t>
  </si>
  <si>
    <t>Average of PAPI_TOT_CYC</t>
  </si>
  <si>
    <t>Average of PAPI_RES_STL</t>
  </si>
  <si>
    <t>Average of tree_stats_height</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</si>
  <si>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</si>
  <si>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</si>
  <si>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</si>
  <si>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</si>
  <si>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</si>
  <si>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</si>
  <si>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</si>
  <si>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</si>
  <si>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</si>
  <si>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</si>
  <si>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</si>
  <si>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</si>
  <si>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</si>
  <si>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full_rebuild_count</t>
  </si>
  <si>
    <t>sum_duration_all_ops_total</t>
  </si>
  <si>
    <t>sum_duration_markAndCount_total</t>
  </si>
  <si>
    <t>sum_duration_wastedWorkBuilding_total</t>
  </si>
  <si>
    <t>sum_duration_buildAndReplace_total</t>
  </si>
  <si>
    <t>sum_duration_rotateAndFree_total</t>
  </si>
  <si>
    <t>sum_duration_traverseAndRetire_total</t>
  </si>
  <si>
    <t>istree_exp8_full_comparison/step10001.txt</t>
  </si>
  <si>
    <t>ellen_ext_bst_lf</t>
  </si>
  <si>
    <t>4996 115900</t>
  </si>
  <si>
    <t>istree_exp8_full_comparison/step10002.txt</t>
  </si>
  <si>
    <t>1244 52716</t>
  </si>
  <si>
    <t>istree_exp8_full_comparison/step10003.txt</t>
  </si>
  <si>
    <t>440 28242</t>
  </si>
  <si>
    <t>istree_exp8_full_comparison/step10004.txt</t>
  </si>
  <si>
    <t>352 18910</t>
  </si>
  <si>
    <t>istree_exp8_full_comparison/step10005.txt</t>
  </si>
  <si>
    <t>306 14632</t>
  </si>
  <si>
    <t>istree_exp8_full_comparison/step10006.txt</t>
  </si>
  <si>
    <t>guerraoui_ext_bst_ticket</t>
  </si>
  <si>
    <t>4864 116988</t>
  </si>
  <si>
    <t>istree_exp8_full_comparison/step10007.txt</t>
  </si>
  <si>
    <t>882 52712</t>
  </si>
  <si>
    <t>istree_exp8_full_comparison/step10008.txt</t>
  </si>
  <si>
    <t>288 29080</t>
  </si>
  <si>
    <t>istree_exp8_full_comparison/step10009.txt</t>
  </si>
  <si>
    <t>220 19214</t>
  </si>
  <si>
    <t>istree_exp8_full_comparison/step10010.txt</t>
  </si>
  <si>
    <t>150 14844</t>
  </si>
  <si>
    <t>istree_exp8_full_comparison/step10011.txt</t>
  </si>
  <si>
    <t>howley_int_bst_lf</t>
  </si>
  <si>
    <t>9934 146410</t>
  </si>
  <si>
    <t>istree_exp8_full_comparison/step10012.txt</t>
  </si>
  <si>
    <t>2444 66698</t>
  </si>
  <si>
    <t>istree_exp8_full_comparison/step10013.txt</t>
  </si>
  <si>
    <t>616 36664</t>
  </si>
  <si>
    <t>istree_exp8_full_comparison/step10014.txt</t>
  </si>
  <si>
    <t>452 24292</t>
  </si>
  <si>
    <t>istree_exp8_full_comparison/step10015.txt</t>
  </si>
  <si>
    <t>312 19020</t>
  </si>
  <si>
    <t>istree_exp8_full_comparison/step10016.txt</t>
  </si>
  <si>
    <t>ramachandran_int_bst_lf</t>
  </si>
  <si>
    <t>fail</t>
  </si>
  <si>
    <t>4972 139174</t>
  </si>
  <si>
    <t>istree_exp8_full_comparison/step10017.txt</t>
  </si>
  <si>
    <t>1216 63648</t>
  </si>
  <si>
    <t>istree_exp8_full_comparison/step10018.txt</t>
  </si>
  <si>
    <t>286 34858</t>
  </si>
  <si>
    <t>istree_exp8_full_comparison/step10019.txt</t>
  </si>
  <si>
    <t>214 23090</t>
  </si>
  <si>
    <t>istree_exp8_full_comparison/step10020.txt</t>
  </si>
  <si>
    <t>166 17678</t>
  </si>
  <si>
    <t>istree_exp8_full_comparison/step10021.txt</t>
  </si>
  <si>
    <t>brown_ext_bst_rq_lf</t>
  </si>
  <si>
    <t>4908 116322</t>
  </si>
  <si>
    <t>istree_exp8_full_comparison/step10022.txt</t>
  </si>
  <si>
    <t>1218 52916</t>
  </si>
  <si>
    <t>istree_exp8_full_comparison/step10023.txt</t>
  </si>
  <si>
    <t>296 28866</t>
  </si>
  <si>
    <t>istree_exp8_full_comparison/step10024.txt</t>
  </si>
  <si>
    <t>222 19204</t>
  </si>
  <si>
    <t>istree_exp8_full_comparison/step10025.txt</t>
  </si>
  <si>
    <t>156 14746</t>
  </si>
  <si>
    <t>istree_exp8_full_comparison/step10026.txt</t>
  </si>
  <si>
    <t>drachsler_pext_bst_lock</t>
  </si>
  <si>
    <t>4944 131814</t>
  </si>
  <si>
    <t>istree_exp8_full_comparison/step10027.txt</t>
  </si>
  <si>
    <t>1212 61266</t>
  </si>
  <si>
    <t>istree_exp8_full_comparison/step10028.txt</t>
  </si>
  <si>
    <t>302 32642</t>
  </si>
  <si>
    <t>istree_exp8_full_comparison/step10029.txt</t>
  </si>
  <si>
    <t>218 21580</t>
  </si>
  <si>
    <t>istree_exp8_full_comparison/step10030.txt</t>
  </si>
  <si>
    <t>152 16404</t>
  </si>
  <si>
    <t>istree_exp8_full_comparison/step10031.txt</t>
  </si>
  <si>
    <t>2 5600 160848 1487768 5041</t>
  </si>
  <si>
    <t>2 5600 160848 1487767 5041</t>
  </si>
  <si>
    <t>istree_exp8_full_comparison/step10032.txt</t>
  </si>
  <si>
    <t>3 9328 219404 2609119 8033</t>
  </si>
  <si>
    <t>3 9328 219402 2609116 8033</t>
  </si>
  <si>
    <t>istree_exp8_full_comparison/step10033.txt</t>
  </si>
  <si>
    <t>9 22565 354587 5355417 15743</t>
  </si>
  <si>
    <t>7 22565 354578 5355407 15743</t>
  </si>
  <si>
    <t>istree_exp8_full_comparison/step10034.txt</t>
  </si>
  <si>
    <t>12 34795 292879 7627620 18912</t>
  </si>
  <si>
    <t>11 34793 292871 7627609 18912</t>
  </si>
  <si>
    <t>istree_exp8_full_comparison/step10035.txt</t>
  </si>
  <si>
    <t>15 47445 400458 10037339 24894</t>
  </si>
  <si>
    <t>15 47444 400417 10037314 24894</t>
  </si>
  <si>
    <t>istree_exp8_full_comparison/step10036.txt</t>
  </si>
  <si>
    <t>5362 345474</t>
  </si>
  <si>
    <t>istree_exp8_full_comparison/step10037.txt</t>
  </si>
  <si>
    <t>1398 151216</t>
  </si>
  <si>
    <t>istree_exp8_full_comparison/step10038.txt</t>
  </si>
  <si>
    <t>764 79518</t>
  </si>
  <si>
    <t>istree_exp8_full_comparison/step10039.txt</t>
  </si>
  <si>
    <t>674 52070</t>
  </si>
  <si>
    <t>istree_exp8_full_comparison/step10040.txt</t>
  </si>
  <si>
    <t>602 41992</t>
  </si>
  <si>
    <t>istree_exp8_full_comparison/step10041.txt</t>
  </si>
  <si>
    <t>4882 160518</t>
  </si>
  <si>
    <t>istree_exp8_full_comparison/step10042.txt</t>
  </si>
  <si>
    <t>1216 72586</t>
  </si>
  <si>
    <t>istree_exp8_full_comparison/step10043.txt</t>
  </si>
  <si>
    <t>290 39284</t>
  </si>
  <si>
    <t>istree_exp8_full_comparison/step10044.txt</t>
  </si>
  <si>
    <t>214 25788</t>
  </si>
  <si>
    <t>istree_exp8_full_comparison/step10045.txt</t>
  </si>
  <si>
    <t>146 20632</t>
  </si>
  <si>
    <t>istree_exp8_full_comparison/step10046.txt</t>
  </si>
  <si>
    <t>4908 130808</t>
  </si>
  <si>
    <t>istree_exp8_full_comparison/step10047.txt</t>
  </si>
  <si>
    <t>1214 60354</t>
  </si>
  <si>
    <t>istree_exp8_full_comparison/step10048.txt</t>
  </si>
  <si>
    <t>294 33582</t>
  </si>
  <si>
    <t>istree_exp8_full_comparison/step10049.txt</t>
  </si>
  <si>
    <t>196 22256</t>
  </si>
  <si>
    <t>istree_exp8_full_comparison/step10050.txt</t>
  </si>
  <si>
    <t>170 17378</t>
  </si>
  <si>
    <t>istree_exp8_full_comparison/step10051.txt</t>
  </si>
  <si>
    <t>4912 109682</t>
  </si>
  <si>
    <t>istree_exp8_full_comparison/step10052.txt</t>
  </si>
  <si>
    <t>1240 49842</t>
  </si>
  <si>
    <t>istree_exp8_full_comparison/step10053.txt</t>
  </si>
  <si>
    <t>428 24554</t>
  </si>
  <si>
    <t>istree_exp8_full_comparison/step10054.txt</t>
  </si>
  <si>
    <t>344 15608</t>
  </si>
  <si>
    <t>istree_exp8_full_comparison/step10055.txt</t>
  </si>
  <si>
    <t>300 12004</t>
  </si>
  <si>
    <t>istree_exp8_full_comparison/step10056.txt</t>
  </si>
  <si>
    <t>4866 110198</t>
  </si>
  <si>
    <t>istree_exp8_full_comparison/step10057.txt</t>
  </si>
  <si>
    <t>1198 50590</t>
  </si>
  <si>
    <t>istree_exp8_full_comparison/step10058.txt</t>
  </si>
  <si>
    <t>290 26404</t>
  </si>
  <si>
    <t>istree_exp8_full_comparison/step10059.txt</t>
  </si>
  <si>
    <t>214 16668</t>
  </si>
  <si>
    <t>istree_exp8_full_comparison/step10060.txt</t>
  </si>
  <si>
    <t>148 12516</t>
  </si>
  <si>
    <t>istree_exp8_full_comparison/step10061.txt</t>
  </si>
  <si>
    <t>10020 199124</t>
  </si>
  <si>
    <t>istree_exp8_full_comparison/step10062.txt</t>
  </si>
  <si>
    <t>2428 88204</t>
  </si>
  <si>
    <t>istree_exp8_full_comparison/step10063.txt</t>
  </si>
  <si>
    <t>606 45228</t>
  </si>
  <si>
    <t>istree_exp8_full_comparison/step10064.txt</t>
  </si>
  <si>
    <t>394 29124</t>
  </si>
  <si>
    <t>istree_exp8_full_comparison/step10065.txt</t>
  </si>
  <si>
    <t>298 20786</t>
  </si>
  <si>
    <t>istree_exp8_full_comparison/step10066.txt</t>
  </si>
  <si>
    <t>4968 116342</t>
  </si>
  <si>
    <t>istree_exp8_full_comparison/step10067.txt</t>
  </si>
  <si>
    <t>1214 52212</t>
  </si>
  <si>
    <t>istree_exp8_full_comparison/step10068.txt</t>
  </si>
  <si>
    <t>282 27588</t>
  </si>
  <si>
    <t>istree_exp8_full_comparison/step10069.txt</t>
  </si>
  <si>
    <t>192 18402</t>
  </si>
  <si>
    <t>istree_exp8_full_comparison/step10070.txt</t>
  </si>
  <si>
    <t>164 14294</t>
  </si>
  <si>
    <t>istree_exp8_full_comparison/step10071.txt</t>
  </si>
  <si>
    <t>4896 106548</t>
  </si>
  <si>
    <t>istree_exp8_full_comparison/step10072.txt</t>
  </si>
  <si>
    <t>1214 48904</t>
  </si>
  <si>
    <t>istree_exp8_full_comparison/step10073.txt</t>
  </si>
  <si>
    <t>306 24466</t>
  </si>
  <si>
    <t>istree_exp8_full_comparison/step10074.txt</t>
  </si>
  <si>
    <t>226 15568</t>
  </si>
  <si>
    <t>istree_exp8_full_comparison/step10075.txt</t>
  </si>
  <si>
    <t>172 12048</t>
  </si>
  <si>
    <t>istree_exp8_full_comparison/step10076.txt</t>
  </si>
  <si>
    <t>4912 117432</t>
  </si>
  <si>
    <t>istree_exp8_full_comparison/step10077.txt</t>
  </si>
  <si>
    <t>1214 55148</t>
  </si>
  <si>
    <t>istree_exp8_full_comparison/step10078.txt</t>
  </si>
  <si>
    <t>290 28128</t>
  </si>
  <si>
    <t>istree_exp8_full_comparison/step10079.txt</t>
  </si>
  <si>
    <t>194 18334</t>
  </si>
  <si>
    <t>istree_exp8_full_comparison/step10080.txt</t>
  </si>
  <si>
    <t>150 13774</t>
  </si>
  <si>
    <t>istree_exp8_full_comparison/step10081.txt</t>
  </si>
  <si>
    <t>74 134354 3849101 35155656 115785</t>
  </si>
  <si>
    <t>48 134066 3848879 35155482 115785</t>
  </si>
  <si>
    <t>istree_exp8_full_comparison/step10082.txt</t>
  </si>
  <si>
    <t>160 242511 5299953 55460612 180823</t>
  </si>
  <si>
    <t>78 242241 5299222 55460014 180823</t>
  </si>
  <si>
    <t>istree_exp8_full_comparison/step10083.txt</t>
  </si>
  <si>
    <t>411 432938 6319639 93813044 274207</t>
  </si>
  <si>
    <t>136 432822 6317378 93810763 274202</t>
  </si>
  <si>
    <t>istree_exp8_full_comparison/step10084.txt</t>
  </si>
  <si>
    <t>623 606008 5082801 128296546 321644</t>
  </si>
  <si>
    <t>191 605799 5079500 128291853 321639</t>
  </si>
  <si>
    <t>istree_exp8_full_comparison/step10085.txt</t>
  </si>
  <si>
    <t>852 728069 6140566 154370669 388168</t>
  </si>
  <si>
    <t>230 727836 6135554 154363378 388160</t>
  </si>
  <si>
    <t>istree_exp8_full_comparison/step10086.txt</t>
  </si>
  <si>
    <t>5344 292112</t>
  </si>
  <si>
    <t>istree_exp8_full_comparison/step10087.txt</t>
  </si>
  <si>
    <t>1412 125930</t>
  </si>
  <si>
    <t>istree_exp8_full_comparison/step10088.txt</t>
  </si>
  <si>
    <t>720 60356</t>
  </si>
  <si>
    <t>istree_exp8_full_comparison/step10089.txt</t>
  </si>
  <si>
    <t>728 37990</t>
  </si>
  <si>
    <t>istree_exp8_full_comparison/step10090.txt</t>
  </si>
  <si>
    <t>616 29090</t>
  </si>
  <si>
    <t>istree_exp8_full_comparison/step10091.txt</t>
  </si>
  <si>
    <t>4902 145596</t>
  </si>
  <si>
    <t>istree_exp8_full_comparison/step10092.txt</t>
  </si>
  <si>
    <t>1216 65986</t>
  </si>
  <si>
    <t>istree_exp8_full_comparison/step10093.txt</t>
  </si>
  <si>
    <t>292 33578</t>
  </si>
  <si>
    <t>istree_exp8_full_comparison/step10094.txt</t>
  </si>
  <si>
    <t>192 21770</t>
  </si>
  <si>
    <t>istree_exp8_full_comparison/step10095.txt</t>
  </si>
  <si>
    <t>152 16664</t>
  </si>
  <si>
    <t>istree_exp8_full_comparison/step10096.txt</t>
  </si>
  <si>
    <t>4920 121832</t>
  </si>
  <si>
    <t>istree_exp8_full_comparison/step10097.txt</t>
  </si>
  <si>
    <t>1242 56436</t>
  </si>
  <si>
    <t>istree_exp8_full_comparison/step10098.txt</t>
  </si>
  <si>
    <t>296 29518</t>
  </si>
  <si>
    <t>istree_exp8_full_comparison/step10099.txt</t>
  </si>
  <si>
    <t>210 18924</t>
  </si>
  <si>
    <t>istree_exp8_full_comparison/step10100.txt</t>
  </si>
  <si>
    <t>152 14186</t>
  </si>
  <si>
    <t>u=40%, k=2x10^7</t>
  </si>
  <si>
    <t>DGT</t>
  </si>
  <si>
    <t>BER</t>
  </si>
  <si>
    <t>EFRB</t>
  </si>
  <si>
    <t>DVY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</si>
</sst>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18">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1733.5</c:v>
                </c:pt>
                <c:pt idx="1">
                  <c:v>1772</c:v>
                </c:pt>
                <c:pt idx="2">
                  <c:v>2009</c:v>
                </c:pt>
                <c:pt idx="3">
                  <c:v>2053</c:v>
                </c:pt>
                <c:pt idx="4">
                  <c:v>2046.5</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1801.5</c:v>
                </c:pt>
                <c:pt idx="1">
                  <c:v>1829</c:v>
                </c:pt>
                <c:pt idx="2">
                  <c:v>1935.5</c:v>
                </c:pt>
                <c:pt idx="3">
                  <c:v>2139</c:v>
                </c:pt>
                <c:pt idx="4">
                  <c:v>2198.5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1508</c:v>
                </c:pt>
                <c:pt idx="1">
                  <c:v>1607</c:v>
                </c:pt>
                <c:pt idx="2">
                  <c:v>1874</c:v>
                </c:pt>
                <c:pt idx="3">
                  <c:v>1887</c:v>
                </c:pt>
                <c:pt idx="4">
                  <c:v>2004.5</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2444.5</c:v>
                </c:pt>
                <c:pt idx="1">
                  <c:v>2489.5</c:v>
                </c:pt>
                <c:pt idx="2">
                  <c:v>2589.5</c:v>
                </c:pt>
                <c:pt idx="3">
                  <c:v>2741</c:v>
                </c:pt>
                <c:pt idx="4">
                  <c:v>2847.5</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1733.5</c:v>
                </c:pt>
                <c:pt idx="1">
                  <c:v>1772</c:v>
                </c:pt>
                <c:pt idx="2">
                  <c:v>2009</c:v>
                </c:pt>
                <c:pt idx="3">
                  <c:v>2053</c:v>
                </c:pt>
                <c:pt idx="4">
                  <c:v>2046.5</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1801.5</c:v>
                </c:pt>
                <c:pt idx="1">
                  <c:v>1829</c:v>
                </c:pt>
                <c:pt idx="2">
                  <c:v>1935.5</c:v>
                </c:pt>
                <c:pt idx="3">
                  <c:v>2139</c:v>
                </c:pt>
                <c:pt idx="4">
                  <c:v>2198.5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1508</c:v>
                </c:pt>
                <c:pt idx="1">
                  <c:v>1607</c:v>
                </c:pt>
                <c:pt idx="2">
                  <c:v>1874</c:v>
                </c:pt>
                <c:pt idx="3">
                  <c:v>1887</c:v>
                </c:pt>
                <c:pt idx="4">
                  <c:v>2004.5</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2444.5</c:v>
                </c:pt>
                <c:pt idx="1">
                  <c:v>2489.5</c:v>
                </c:pt>
                <c:pt idx="2">
                  <c:v>2589.5</c:v>
                </c:pt>
                <c:pt idx="3">
                  <c:v>2741</c:v>
                </c:pt>
                <c:pt idx="4">
                  <c:v>2847.5</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6216.9250000000002</c:v>
                </c:pt>
                <c:pt idx="1">
                  <c:v>6464.0349999999999</c:v>
                </c:pt>
                <c:pt idx="2">
                  <c:v>5904.32</c:v>
                </c:pt>
                <c:pt idx="3">
                  <c:v>6092.0450000000001</c:v>
                </c:pt>
                <c:pt idx="4">
                  <c:v>6380.28</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5072.59</c:v>
                </c:pt>
                <c:pt idx="1">
                  <c:v>5413.5499999999993</c:v>
                </c:pt>
                <c:pt idx="2">
                  <c:v>5051.08</c:v>
                </c:pt>
                <c:pt idx="3">
                  <c:v>5088.6049999999996</c:v>
                </c:pt>
                <c:pt idx="4">
                  <c:v>5154.3099999999995</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2396.0299999999997</c:v>
                </c:pt>
                <c:pt idx="1">
                  <c:v>2687.08</c:v>
                </c:pt>
                <c:pt idx="2">
                  <c:v>2747.125</c:v>
                </c:pt>
                <c:pt idx="3">
                  <c:v>3025.12</c:v>
                </c:pt>
                <c:pt idx="4">
                  <c:v>3314.125</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2606.105</c:v>
                </c:pt>
                <c:pt idx="1">
                  <c:v>3135.4</c:v>
                </c:pt>
                <c:pt idx="2">
                  <c:v>3324.0650000000001</c:v>
                </c:pt>
                <c:pt idx="3">
                  <c:v>3483.8149999999996</c:v>
                </c:pt>
                <c:pt idx="4">
                  <c:v>3710.1</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6216.9250000000002</c:v>
                </c:pt>
                <c:pt idx="1">
                  <c:v>6464.0349999999999</c:v>
                </c:pt>
                <c:pt idx="2">
                  <c:v>5904.32</c:v>
                </c:pt>
                <c:pt idx="3">
                  <c:v>6092.0450000000001</c:v>
                </c:pt>
                <c:pt idx="4">
                  <c:v>6380.28</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5072.59</c:v>
                </c:pt>
                <c:pt idx="1">
                  <c:v>5413.5499999999993</c:v>
                </c:pt>
                <c:pt idx="2">
                  <c:v>5051.08</c:v>
                </c:pt>
                <c:pt idx="3">
                  <c:v>5088.6049999999996</c:v>
                </c:pt>
                <c:pt idx="4">
                  <c:v>5154.3099999999995</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2396.0299999999997</c:v>
                </c:pt>
                <c:pt idx="1">
                  <c:v>2687.08</c:v>
                </c:pt>
                <c:pt idx="2">
                  <c:v>2747.125</c:v>
                </c:pt>
                <c:pt idx="3">
                  <c:v>3025.12</c:v>
                </c:pt>
                <c:pt idx="4">
                  <c:v>3314.125</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2606.105</c:v>
                </c:pt>
                <c:pt idx="1">
                  <c:v>3135.4</c:v>
                </c:pt>
                <c:pt idx="2">
                  <c:v>3324.0650000000001</c:v>
                </c:pt>
                <c:pt idx="3">
                  <c:v>3483.8149999999996</c:v>
                </c:pt>
                <c:pt idx="4">
                  <c:v>3710.1</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u=40%, k=2x10^7</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7441030032631175"/>
          <c:y val="0.11905985021469084"/>
          <c:w val="0.81376582913262896"/>
          <c:h val="0.64270887944817312"/>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0</c:v>
                  </c:pt>
                  <c:pt idx="1">
                    <c:v>0</c:v>
                  </c:pt>
                  <c:pt idx="2">
                    <c:v>0</c:v>
                  </c:pt>
                  <c:pt idx="3">
                    <c:v>0</c:v>
                  </c:pt>
                  <c:pt idx="4">
                    <c:v>0</c:v>
                  </c:pt>
                </c:numCache>
              </c:numRef>
            </c:plus>
            <c:minus>
              <c:numRef>
                <c:f>throughput!$B$51:$B$55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10378099</c:v>
                </c:pt>
                <c:pt idx="1">
                  <c:v>20026183</c:v>
                </c:pt>
                <c:pt idx="2">
                  <c:v>42169262</c:v>
                </c:pt>
                <c:pt idx="3">
                  <c:v>59204196</c:v>
                </c:pt>
                <c:pt idx="4">
                  <c:v>71286969</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BCCO</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0</c:v>
                  </c:pt>
                  <c:pt idx="1">
                    <c:v>0</c:v>
                  </c:pt>
                  <c:pt idx="2">
                    <c:v>0</c:v>
                  </c:pt>
                  <c:pt idx="3">
                    <c:v>0</c:v>
                  </c:pt>
                  <c:pt idx="4">
                    <c:v>0</c:v>
                  </c:pt>
                </c:numCache>
              </c:numRef>
            </c:plus>
            <c:minus>
              <c:numRef>
                <c:f>throughput!$C$51:$C$55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12531452</c:v>
                </c:pt>
                <c:pt idx="1">
                  <c:v>23522678</c:v>
                </c:pt>
                <c:pt idx="2">
                  <c:v>48889395</c:v>
                </c:pt>
                <c:pt idx="3">
                  <c:v>71777720</c:v>
                </c:pt>
                <c:pt idx="4">
                  <c:v>92505014</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ABTree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0</c:v>
                  </c:pt>
                  <c:pt idx="1">
                    <c:v>0</c:v>
                  </c:pt>
                  <c:pt idx="2">
                    <c:v>0</c:v>
                  </c:pt>
                  <c:pt idx="3">
                    <c:v>0</c:v>
                  </c:pt>
                  <c:pt idx="4">
                    <c:v>0</c:v>
                  </c:pt>
                </c:numCache>
              </c:numRef>
            </c:plus>
            <c:minus>
              <c:numRef>
                <c:f>throughput!$D$51:$D$55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25694598</c:v>
                </c:pt>
                <c:pt idx="1">
                  <c:v>45456678</c:v>
                </c:pt>
                <c:pt idx="2">
                  <c:v>82840938</c:v>
                </c:pt>
                <c:pt idx="3">
                  <c:v>107008372</c:v>
                </c:pt>
                <c:pt idx="4">
                  <c:v>121533367</c:v>
                </c:pt>
              </c:numCache>
            </c:numRef>
          </c:val>
          <c:extLst>
            <c:ext xmlns:c16="http://schemas.microsoft.com/office/drawing/2014/chart" uri="{C3380CC4-5D6E-409C-BE32-E72D297353CC}">
              <c16:uniqueId val="{00000002-2CD0-447C-8E06-4DA7A6D936F5}"/>
            </c:ext>
          </c:extLst>
        </c:ser>
        <c:ser>
          <c:idx val="3"/>
          <c:order val="3"/>
          <c:tx>
            <c:strRef>
              <c:f>throughput!$E$20</c:f>
              <c:strCache>
                <c:ptCount val="1"/>
                <c:pt idx="0">
                  <c:v>ISTree</c:v>
                </c:pt>
              </c:strCache>
            </c:strRef>
          </c:tx>
          <c:spPr>
            <a:solidFill>
              <a:schemeClr val="accent4"/>
            </a:solidFill>
            <a:ln w="76200">
              <a:noFill/>
            </a:ln>
            <a:effectLst/>
          </c:spPr>
          <c:invertIfNegative val="0"/>
          <c:errBars>
            <c:errBarType val="both"/>
            <c:errValType val="cust"/>
            <c:noEndCap val="1"/>
            <c:plus>
              <c:numRef>
                <c:f>throughput!$E$78:$E$82</c:f>
                <c:numCache>
                  <c:formatCode>General</c:formatCode>
                  <c:ptCount val="5"/>
                  <c:pt idx="0">
                    <c:v>0</c:v>
                  </c:pt>
                  <c:pt idx="1">
                    <c:v>0</c:v>
                  </c:pt>
                  <c:pt idx="2">
                    <c:v>0</c:v>
                  </c:pt>
                  <c:pt idx="3">
                    <c:v>0</c:v>
                  </c:pt>
                  <c:pt idx="4">
                    <c:v>0</c:v>
                  </c:pt>
                </c:numCache>
              </c:numRef>
            </c:plus>
            <c:minus>
              <c:numRef>
                <c:f>throughput!$E$51:$E$55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20052070</c:v>
                </c:pt>
                <c:pt idx="1">
                  <c:v>32499901</c:v>
                </c:pt>
                <c:pt idx="2">
                  <c:v>57033139</c:v>
                </c:pt>
                <c:pt idx="3">
                  <c:v>79871522</c:v>
                </c:pt>
                <c:pt idx="4">
                  <c:v>96087265</c:v>
                </c:pt>
              </c:numCache>
            </c:numRef>
          </c:val>
          <c:extLst>
            <c:ext xmlns:c16="http://schemas.microsoft.com/office/drawing/2014/chart" uri="{C3380CC4-5D6E-409C-BE32-E72D297353CC}">
              <c16:uniqueId val="{00000003-2CD0-447C-8E06-4DA7A6D936F5}"/>
            </c:ext>
          </c:extLst>
        </c:ser>
        <c:ser>
          <c:idx val="4"/>
          <c:order val="4"/>
          <c:tx>
            <c:strRef>
              <c:f>throughput!$F$20</c:f>
              <c:strCache>
                <c:ptCount val="1"/>
                <c:pt idx="0">
                  <c:v>EFRB</c:v>
                </c:pt>
              </c:strCache>
            </c:strRef>
          </c:tx>
          <c:spPr>
            <a:solidFill>
              <a:schemeClr val="accent5"/>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throughput!$F$21:$F$25</c:f>
              <c:numCache>
                <c:formatCode>0</c:formatCode>
                <c:ptCount val="5"/>
                <c:pt idx="0">
                  <c:v>9281345</c:v>
                </c:pt>
                <c:pt idx="1">
                  <c:v>17500759</c:v>
                </c:pt>
                <c:pt idx="2">
                  <c:v>33760193</c:v>
                </c:pt>
                <c:pt idx="3">
                  <c:v>45168790</c:v>
                </c:pt>
                <c:pt idx="4">
                  <c:v>53529136</c:v>
                </c:pt>
              </c:numCache>
            </c:numRef>
          </c:val>
          <c:extLst>
            <c:ext xmlns:c16="http://schemas.microsoft.com/office/drawing/2014/chart" uri="{C3380CC4-5D6E-409C-BE32-E72D297353CC}">
              <c16:uniqueId val="{00000000-0BF7-487F-8CA1-CB6DF476BB81}"/>
            </c:ext>
          </c:extLst>
        </c:ser>
        <c:ser>
          <c:idx val="5"/>
          <c:order val="5"/>
          <c:tx>
            <c:strRef>
              <c:f>throughput!$G$20</c:f>
              <c:strCache>
                <c:ptCount val="1"/>
                <c:pt idx="0">
                  <c:v>DGT</c:v>
                </c:pt>
              </c:strCache>
            </c:strRef>
          </c:tx>
          <c:spPr>
            <a:solidFill>
              <a:schemeClr val="accent6"/>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throughput!$G$21:$G$25</c:f>
              <c:numCache>
                <c:formatCode>0</c:formatCode>
                <c:ptCount val="5"/>
                <c:pt idx="0">
                  <c:v>9335106</c:v>
                </c:pt>
                <c:pt idx="1">
                  <c:v>17874654</c:v>
                </c:pt>
                <c:pt idx="2">
                  <c:v>37634802</c:v>
                </c:pt>
                <c:pt idx="3">
                  <c:v>53379878</c:v>
                </c:pt>
                <c:pt idx="4">
                  <c:v>65582836</c:v>
                </c:pt>
              </c:numCache>
            </c:numRef>
          </c:val>
          <c:extLst>
            <c:ext xmlns:c16="http://schemas.microsoft.com/office/drawing/2014/chart" uri="{C3380CC4-5D6E-409C-BE32-E72D297353CC}">
              <c16:uniqueId val="{00000001-0BF7-487F-8CA1-CB6DF476BB81}"/>
            </c:ext>
          </c:extLst>
        </c:ser>
        <c:ser>
          <c:idx val="6"/>
          <c:order val="6"/>
          <c:tx>
            <c:strRef>
              <c:f>throughput!$H$20</c:f>
              <c:strCache>
                <c:ptCount val="1"/>
                <c:pt idx="0">
                  <c:v>BER</c:v>
                </c:pt>
              </c:strCache>
            </c:strRef>
          </c:tx>
          <c:spPr>
            <a:solidFill>
              <a:schemeClr val="accent1">
                <a:lumMod val="60000"/>
              </a:schemeClr>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throughput!$H$21:$H$25</c:f>
              <c:numCache>
                <c:formatCode>0</c:formatCode>
                <c:ptCount val="5"/>
                <c:pt idx="0">
                  <c:v>9007896</c:v>
                </c:pt>
                <c:pt idx="1">
                  <c:v>17188449</c:v>
                </c:pt>
                <c:pt idx="2">
                  <c:v>33712455</c:v>
                </c:pt>
                <c:pt idx="3">
                  <c:v>45660488</c:v>
                </c:pt>
                <c:pt idx="4">
                  <c:v>53291006</c:v>
                </c:pt>
              </c:numCache>
            </c:numRef>
          </c:val>
          <c:extLst>
            <c:ext xmlns:c16="http://schemas.microsoft.com/office/drawing/2014/chart" uri="{C3380CC4-5D6E-409C-BE32-E72D297353CC}">
              <c16:uniqueId val="{00000002-0BF7-487F-8CA1-CB6DF476BB81}"/>
            </c:ext>
          </c:extLst>
        </c:ser>
        <c:ser>
          <c:idx val="7"/>
          <c:order val="7"/>
          <c:tx>
            <c:strRef>
              <c:f>throughput!$I$20</c:f>
              <c:strCache>
                <c:ptCount val="1"/>
                <c:pt idx="0">
                  <c:v>DVY</c:v>
                </c:pt>
              </c:strCache>
            </c:strRef>
          </c:tx>
          <c:spPr>
            <a:solidFill>
              <a:schemeClr val="accent2">
                <a:lumMod val="60000"/>
              </a:schemeClr>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throughput!$I$21:$I$25</c:f>
              <c:numCache>
                <c:formatCode>0</c:formatCode>
                <c:ptCount val="5"/>
                <c:pt idx="0">
                  <c:v>9962259</c:v>
                </c:pt>
                <c:pt idx="1">
                  <c:v>19499937</c:v>
                </c:pt>
                <c:pt idx="2">
                  <c:v>40581867</c:v>
                </c:pt>
                <c:pt idx="3">
                  <c:v>59944426</c:v>
                </c:pt>
                <c:pt idx="4">
                  <c:v>77065576</c:v>
                </c:pt>
              </c:numCache>
            </c:numRef>
          </c:val>
          <c:extLst>
            <c:ext xmlns:c16="http://schemas.microsoft.com/office/drawing/2014/chart" uri="{C3380CC4-5D6E-409C-BE32-E72D297353CC}">
              <c16:uniqueId val="{00000003-0BF7-487F-8CA1-CB6DF476BB81}"/>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10378099</c:v>
                </c:pt>
                <c:pt idx="1">
                  <c:v>20026183</c:v>
                </c:pt>
                <c:pt idx="2">
                  <c:v>42169262</c:v>
                </c:pt>
                <c:pt idx="3">
                  <c:v>59204196</c:v>
                </c:pt>
                <c:pt idx="4">
                  <c:v>71286969</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BCCO</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12531452</c:v>
                </c:pt>
                <c:pt idx="1">
                  <c:v>23522678</c:v>
                </c:pt>
                <c:pt idx="2">
                  <c:v>48889395</c:v>
                </c:pt>
                <c:pt idx="3">
                  <c:v>71777720</c:v>
                </c:pt>
                <c:pt idx="4">
                  <c:v>92505014</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ABTree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25694598</c:v>
                </c:pt>
                <c:pt idx="1">
                  <c:v>45456678</c:v>
                </c:pt>
                <c:pt idx="2">
                  <c:v>82840938</c:v>
                </c:pt>
                <c:pt idx="3">
                  <c:v>107008372</c:v>
                </c:pt>
                <c:pt idx="4">
                  <c:v>121533367</c:v>
                </c:pt>
              </c:numCache>
            </c:numRef>
          </c:val>
          <c:extLst>
            <c:ext xmlns:c16="http://schemas.microsoft.com/office/drawing/2014/chart" uri="{C3380CC4-5D6E-409C-BE32-E72D297353CC}">
              <c16:uniqueId val="{00000002-501B-430B-95FC-C01CB1FD10E4}"/>
            </c:ext>
          </c:extLst>
        </c:ser>
        <c:ser>
          <c:idx val="3"/>
          <c:order val="3"/>
          <c:tx>
            <c:strRef>
              <c:f>throughput!$E$20</c:f>
              <c:strCache>
                <c:ptCount val="1"/>
                <c:pt idx="0">
                  <c:v>ISTree</c:v>
                </c:pt>
              </c:strCache>
            </c:strRef>
          </c:tx>
          <c:spPr>
            <a:solidFill>
              <a:schemeClr val="accent4"/>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20052070</c:v>
                </c:pt>
                <c:pt idx="1">
                  <c:v>32499901</c:v>
                </c:pt>
                <c:pt idx="2">
                  <c:v>57033139</c:v>
                </c:pt>
                <c:pt idx="3">
                  <c:v>79871522</c:v>
                </c:pt>
                <c:pt idx="4">
                  <c:v>96087265</c:v>
                </c:pt>
              </c:numCache>
            </c:numRef>
          </c:val>
          <c:extLst>
            <c:ext xmlns:c16="http://schemas.microsoft.com/office/drawing/2014/chart" uri="{C3380CC4-5D6E-409C-BE32-E72D297353CC}">
              <c16:uniqueId val="{00000003-501B-430B-95FC-C01CB1FD10E4}"/>
            </c:ext>
          </c:extLst>
        </c:ser>
        <c:ser>
          <c:idx val="4"/>
          <c:order val="4"/>
          <c:tx>
            <c:strRef>
              <c:f>throughput!$F$20</c:f>
              <c:strCache>
                <c:ptCount val="1"/>
                <c:pt idx="0">
                  <c:v>EFRB</c:v>
                </c:pt>
              </c:strCache>
            </c:strRef>
          </c:tx>
          <c:spPr>
            <a:solidFill>
              <a:schemeClr val="accent5"/>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throughput!$F$21:$F$25</c:f>
              <c:numCache>
                <c:formatCode>0</c:formatCode>
                <c:ptCount val="5"/>
                <c:pt idx="0">
                  <c:v>9281345</c:v>
                </c:pt>
                <c:pt idx="1">
                  <c:v>17500759</c:v>
                </c:pt>
                <c:pt idx="2">
                  <c:v>33760193</c:v>
                </c:pt>
                <c:pt idx="3">
                  <c:v>45168790</c:v>
                </c:pt>
                <c:pt idx="4">
                  <c:v>53529136</c:v>
                </c:pt>
              </c:numCache>
            </c:numRef>
          </c:val>
          <c:extLst>
            <c:ext xmlns:c16="http://schemas.microsoft.com/office/drawing/2014/chart" uri="{C3380CC4-5D6E-409C-BE32-E72D297353CC}">
              <c16:uniqueId val="{00000000-E2E7-4AD2-B1DC-CB2801CB39BF}"/>
            </c:ext>
          </c:extLst>
        </c:ser>
        <c:ser>
          <c:idx val="5"/>
          <c:order val="5"/>
          <c:tx>
            <c:strRef>
              <c:f>throughput!$G$20</c:f>
              <c:strCache>
                <c:ptCount val="1"/>
                <c:pt idx="0">
                  <c:v>DGT</c:v>
                </c:pt>
              </c:strCache>
            </c:strRef>
          </c:tx>
          <c:spPr>
            <a:solidFill>
              <a:schemeClr val="accent6"/>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throughput!$G$21:$G$25</c:f>
              <c:numCache>
                <c:formatCode>0</c:formatCode>
                <c:ptCount val="5"/>
                <c:pt idx="0">
                  <c:v>9335106</c:v>
                </c:pt>
                <c:pt idx="1">
                  <c:v>17874654</c:v>
                </c:pt>
                <c:pt idx="2">
                  <c:v>37634802</c:v>
                </c:pt>
                <c:pt idx="3">
                  <c:v>53379878</c:v>
                </c:pt>
                <c:pt idx="4">
                  <c:v>65582836</c:v>
                </c:pt>
              </c:numCache>
            </c:numRef>
          </c:val>
          <c:extLst>
            <c:ext xmlns:c16="http://schemas.microsoft.com/office/drawing/2014/chart" uri="{C3380CC4-5D6E-409C-BE32-E72D297353CC}">
              <c16:uniqueId val="{00000001-E2E7-4AD2-B1DC-CB2801CB39BF}"/>
            </c:ext>
          </c:extLst>
        </c:ser>
        <c:ser>
          <c:idx val="6"/>
          <c:order val="6"/>
          <c:tx>
            <c:strRef>
              <c:f>throughput!$H$20</c:f>
              <c:strCache>
                <c:ptCount val="1"/>
                <c:pt idx="0">
                  <c:v>BER</c:v>
                </c:pt>
              </c:strCache>
            </c:strRef>
          </c:tx>
          <c:spPr>
            <a:solidFill>
              <a:schemeClr val="accent1">
                <a:lumMod val="60000"/>
              </a:schemeClr>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throughput!$H$21:$H$25</c:f>
              <c:numCache>
                <c:formatCode>0</c:formatCode>
                <c:ptCount val="5"/>
                <c:pt idx="0">
                  <c:v>9007896</c:v>
                </c:pt>
                <c:pt idx="1">
                  <c:v>17188449</c:v>
                </c:pt>
                <c:pt idx="2">
                  <c:v>33712455</c:v>
                </c:pt>
                <c:pt idx="3">
                  <c:v>45660488</c:v>
                </c:pt>
                <c:pt idx="4">
                  <c:v>53291006</c:v>
                </c:pt>
              </c:numCache>
            </c:numRef>
          </c:val>
          <c:extLst>
            <c:ext xmlns:c16="http://schemas.microsoft.com/office/drawing/2014/chart" uri="{C3380CC4-5D6E-409C-BE32-E72D297353CC}">
              <c16:uniqueId val="{00000002-E2E7-4AD2-B1DC-CB2801CB39BF}"/>
            </c:ext>
          </c:extLst>
        </c:ser>
        <c:ser>
          <c:idx val="7"/>
          <c:order val="7"/>
          <c:tx>
            <c:strRef>
              <c:f>throughput!$I$20</c:f>
              <c:strCache>
                <c:ptCount val="1"/>
                <c:pt idx="0">
                  <c:v>DVY</c:v>
                </c:pt>
              </c:strCache>
            </c:strRef>
          </c:tx>
          <c:spPr>
            <a:solidFill>
              <a:schemeClr val="accent2">
                <a:lumMod val="60000"/>
              </a:schemeClr>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throughput!$I$21:$I$25</c:f>
              <c:numCache>
                <c:formatCode>0</c:formatCode>
                <c:ptCount val="5"/>
                <c:pt idx="0">
                  <c:v>9962259</c:v>
                </c:pt>
                <c:pt idx="1">
                  <c:v>19499937</c:v>
                </c:pt>
                <c:pt idx="2">
                  <c:v>40581867</c:v>
                </c:pt>
                <c:pt idx="3">
                  <c:v>59944426</c:v>
                </c:pt>
                <c:pt idx="4">
                  <c:v>77065576</c:v>
                </c:pt>
              </c:numCache>
            </c:numRef>
          </c:val>
          <c:extLst>
            <c:ext xmlns:c16="http://schemas.microsoft.com/office/drawing/2014/chart" uri="{C3380CC4-5D6E-409C-BE32-E72D297353CC}">
              <c16:uniqueId val="{00000003-E2E7-4AD2-B1DC-CB2801CB39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1"/>
          <c:h val="0.96781602592963956"/>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57</c:v>
                </c:pt>
                <c:pt idx="1">
                  <c:v>59.5</c:v>
                </c:pt>
                <c:pt idx="2">
                  <c:v>59</c:v>
                </c:pt>
                <c:pt idx="3">
                  <c:v>58.5</c:v>
                </c:pt>
                <c:pt idx="4">
                  <c:v>59.5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29</c:v>
                </c:pt>
                <c:pt idx="1">
                  <c:v>29</c:v>
                </c:pt>
                <c:pt idx="2">
                  <c:v>29</c:v>
                </c:pt>
                <c:pt idx="3">
                  <c:v>29</c:v>
                </c:pt>
                <c:pt idx="4">
                  <c:v>29</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c:v>
                </c:pt>
                <c:pt idx="1">
                  <c:v>9</c:v>
                </c:pt>
                <c:pt idx="2">
                  <c:v>9</c:v>
                </c:pt>
                <c:pt idx="3">
                  <c:v>9</c:v>
                </c:pt>
                <c:pt idx="4">
                  <c:v>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7</c:v>
                </c:pt>
                <c:pt idx="1">
                  <c:v>7</c:v>
                </c:pt>
                <c:pt idx="2">
                  <c:v>7</c:v>
                </c:pt>
                <c:pt idx="3">
                  <c:v>7</c:v>
                </c:pt>
                <c:pt idx="4">
                  <c:v>7</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57</c:v>
                </c:pt>
                <c:pt idx="1">
                  <c:v>59.5</c:v>
                </c:pt>
                <c:pt idx="2">
                  <c:v>59</c:v>
                </c:pt>
                <c:pt idx="3">
                  <c:v>58.5</c:v>
                </c:pt>
                <c:pt idx="4">
                  <c:v>59.5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29</c:v>
                </c:pt>
                <c:pt idx="1">
                  <c:v>29</c:v>
                </c:pt>
                <c:pt idx="2">
                  <c:v>29</c:v>
                </c:pt>
                <c:pt idx="3">
                  <c:v>29</c:v>
                </c:pt>
                <c:pt idx="4">
                  <c:v>29</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c:v>
                </c:pt>
                <c:pt idx="1">
                  <c:v>9</c:v>
                </c:pt>
                <c:pt idx="2">
                  <c:v>9</c:v>
                </c:pt>
                <c:pt idx="3">
                  <c:v>9</c:v>
                </c:pt>
                <c:pt idx="4">
                  <c:v>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7</c:v>
                </c:pt>
                <c:pt idx="1">
                  <c:v>7</c:v>
                </c:pt>
                <c:pt idx="2">
                  <c:v>7</c:v>
                </c:pt>
                <c:pt idx="3">
                  <c:v>7</c:v>
                </c:pt>
                <c:pt idx="4">
                  <c:v>7</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1509</c:v>
                </c:pt>
                <c:pt idx="1">
                  <c:v>1067</c:v>
                </c:pt>
                <c:pt idx="2">
                  <c:v>757.5</c:v>
                </c:pt>
                <c:pt idx="3">
                  <c:v>453</c:v>
                </c:pt>
                <c:pt idx="4">
                  <c:v>459</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1480</c:v>
                </c:pt>
                <c:pt idx="1">
                  <c:v>1036</c:v>
                </c:pt>
                <c:pt idx="2">
                  <c:v>765.5</c:v>
                </c:pt>
                <c:pt idx="3">
                  <c:v>467.5</c:v>
                </c:pt>
                <c:pt idx="4">
                  <c:v>480</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837</c:v>
                </c:pt>
                <c:pt idx="1">
                  <c:v>758.5</c:v>
                </c:pt>
                <c:pt idx="2">
                  <c:v>908</c:v>
                </c:pt>
                <c:pt idx="3">
                  <c:v>828</c:v>
                </c:pt>
                <c:pt idx="4">
                  <c:v>938.5</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155.5</c:v>
                </c:pt>
                <c:pt idx="1">
                  <c:v>198</c:v>
                </c:pt>
                <c:pt idx="2">
                  <c:v>235.5</c:v>
                </c:pt>
                <c:pt idx="3">
                  <c:v>414.5</c:v>
                </c:pt>
                <c:pt idx="4">
                  <c:v>394</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1509</c:v>
                </c:pt>
                <c:pt idx="1">
                  <c:v>1067</c:v>
                </c:pt>
                <c:pt idx="2">
                  <c:v>757.5</c:v>
                </c:pt>
                <c:pt idx="3">
                  <c:v>453</c:v>
                </c:pt>
                <c:pt idx="4">
                  <c:v>459</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1480</c:v>
                </c:pt>
                <c:pt idx="1">
                  <c:v>1036</c:v>
                </c:pt>
                <c:pt idx="2">
                  <c:v>765.5</c:v>
                </c:pt>
                <c:pt idx="3">
                  <c:v>467.5</c:v>
                </c:pt>
                <c:pt idx="4">
                  <c:v>480</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837</c:v>
                </c:pt>
                <c:pt idx="1">
                  <c:v>758.5</c:v>
                </c:pt>
                <c:pt idx="2">
                  <c:v>908</c:v>
                </c:pt>
                <c:pt idx="3">
                  <c:v>828</c:v>
                </c:pt>
                <c:pt idx="4">
                  <c:v>938.5</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155.5</c:v>
                </c:pt>
                <c:pt idx="1">
                  <c:v>198</c:v>
                </c:pt>
                <c:pt idx="2">
                  <c:v>235.5</c:v>
                </c:pt>
                <c:pt idx="3">
                  <c:v>414.5</c:v>
                </c:pt>
                <c:pt idx="4">
                  <c:v>394</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6380.28</c:v>
                </c:pt>
                <c:pt idx="1">
                  <c:v>5154.3099999999995</c:v>
                </c:pt>
                <c:pt idx="2">
                  <c:v>3314.125</c:v>
                </c:pt>
                <c:pt idx="3">
                  <c:v>3710.1</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6380.28</c:v>
                </c:pt>
                <c:pt idx="1">
                  <c:v>5154.3099999999995</c:v>
                </c:pt>
                <c:pt idx="2">
                  <c:v>3314.125</c:v>
                </c:pt>
                <c:pt idx="3">
                  <c:v>3710.1</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0</c:v>
                </c:pt>
                <c:pt idx="1">
                  <c:v>0</c:v>
                </c:pt>
                <c:pt idx="2">
                  <c:v>0</c:v>
                </c:pt>
                <c:pt idx="3">
                  <c:v>0</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Mai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217716</xdr:colOff>
      <xdr:row>43</xdr:row>
      <xdr:rowOff>27218</xdr:rowOff>
    </xdr:from>
    <xdr:to>
      <xdr:col>40</xdr:col>
      <xdr:colOff>95250</xdr:colOff>
      <xdr:row>48</xdr:row>
      <xdr:rowOff>149679</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83.761019444442" missingItemsLimit="0" createdVersion="6" refreshedVersion="6" minRefreshableVersion="3" recordCount="101">
  <cacheSource type="worksheet">
    <worksheetSource ref="A1:BG1048576" sheet="data"/>
  </cacheSource>
  <cacheFields count="59">
    <cacheField name="filename" numFmtId="0">
      <sharedItems containsBlank="1"/>
    </cacheField>
    <cacheField name="DS_TYPENAME" numFmtId="0">
      <sharedItems containsBlank="1" count="11">
        <s v="ellen_ext_bst_lf"/>
        <s v="guerraoui_ext_bst_ticket"/>
        <s v="howley_int_bst_lf"/>
        <s v="ramachandran_int_bst_lf"/>
        <s v="brown_ext_bst_rq_lf"/>
        <s v="drachsler_pext_bst_lock"/>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0" maxValue="20000000"/>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48009176665" maxValue="854554935823577"/>
    </cacheField>
    <cacheField name="threads_final_size" numFmtId="0">
      <sharedItems containsString="0" containsBlank="1" containsNumber="1" containsInteger="1" minValue="9996735" maxValue="85455940"/>
    </cacheField>
    <cacheField name="final_keysum" numFmtId="0">
      <sharedItems containsString="0" containsBlank="1" containsNumber="1" containsInteger="1" minValue="99948009176665" maxValue="256153234129278"/>
    </cacheField>
    <cacheField name="final_size" numFmtId="0">
      <sharedItems containsString="0" containsBlank="1" containsNumber="1" containsInteger="1" minValue="9996735" maxValue="27723066"/>
    </cacheField>
    <cacheField name="validate_result" numFmtId="0">
      <sharedItems containsBlank="1"/>
    </cacheField>
    <cacheField name="tree_stats_height" numFmtId="0">
      <sharedItems containsString="0" containsBlank="1" containsNumber="1" containsInteger="1" minValue="7" maxValue="138"/>
    </cacheField>
    <cacheField name="tree_stats_numInternals" numFmtId="0">
      <sharedItems containsString="0" containsBlank="1" containsNumber="1" containsInteger="1" minValue="207513" maxValue="18148463"/>
    </cacheField>
    <cacheField name="tree_stats_numLeaves" numFmtId="0">
      <sharedItems containsString="0" containsBlank="1" containsNumber="1" containsInteger="1" minValue="1429091" maxValue="12032222"/>
    </cacheField>
    <cacheField name="tree_stats_numNodes" numFmtId="0">
      <sharedItems containsString="0" containsBlank="1" containsNumber="1" containsInteger="1" minValue="1636604" maxValue="27723067"/>
    </cacheField>
    <cacheField name="tree_stats_numKeys" numFmtId="0">
      <sharedItems containsString="0" containsBlank="1" containsNumber="1" containsInteger="1" minValue="9996735" maxValue="27723066"/>
    </cacheField>
    <cacheField name="tree_stats_avgDegreeInternal" numFmtId="0">
      <sharedItems containsString="0" containsBlank="1" containsNumber="1" minValue="1.50308" maxValue="8.0383300000000002"/>
    </cacheField>
    <cacheField name="tree_stats_avgDegreeLeaves" numFmtId="0">
      <sharedItems containsString="0" containsBlank="1" containsNumber="1" minValue="0.83083600000000002" maxValue="6.9965999999999999"/>
    </cacheField>
    <cacheField name="tree_stats_avgKeyDepth" numFmtId="0">
      <sharedItems containsString="0" containsBlank="1" containsNumber="1" minValue="4" maxValue="74.173100000000005"/>
    </cacheField>
    <cacheField name="tree_stats_sizeInBytes" numFmtId="0">
      <sharedItems containsString="0" containsBlank="1" containsNumber="1" containsInteger="1" minValue="313058736" maxValue="1920534528"/>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416" maxValue="2897801"/>
    </cacheField>
    <cacheField name="first_thread_announced_epoch_by_index" numFmtId="0">
      <sharedItems containsBlank="1" containsMixedTypes="1" containsNumber="1" containsInteger="1" minValue="22120" maxValue="380390"/>
    </cacheField>
    <cacheField name="sum_duration_all_ops_total" numFmtId="0">
      <sharedItems containsNonDate="0" containsString="0" containsBlank="1"/>
    </cacheField>
    <cacheField name="sum_duration_markAndCount_total" numFmtId="0">
      <sharedItems containsNonDate="0" containsString="0" containsBlank="1"/>
    </cacheField>
    <cacheField name="sum_duration_wastedWorkBuilding_total" numFmtId="0">
      <sharedItems containsNonDate="0" containsString="0" containsBlank="1"/>
    </cacheField>
    <cacheField name="sum_duration_buildAndReplace_total" numFmtId="0">
      <sharedItems containsNonDate="0" containsString="0" containsBlank="1"/>
    </cacheField>
    <cacheField name="sum_duration_rotateAndFree_total" numFmtId="0">
      <sharedItems containsNonDate="0" containsString="0" containsBlank="1"/>
    </cacheField>
    <cacheField name="sum_duration_traverseAndRetire_total" numFmtId="0">
      <sharedItems containsNonDate="0" containsString="0" containsBlank="1"/>
    </cacheField>
    <cacheField name="total_find" numFmtId="0">
      <sharedItems containsString="0" containsBlank="1" containsNumber="1" containsInteger="1" minValue="162149001" maxValue="7423780614"/>
    </cacheField>
    <cacheField name="total_rq" numFmtId="0">
      <sharedItems containsString="0" containsBlank="1" containsNumber="1" containsInteger="1" minValue="0" maxValue="0"/>
    </cacheField>
    <cacheField name="total_updates" numFmtId="0">
      <sharedItems containsString="0" containsBlank="1" containsNumber="1" containsInteger="1" minValue="2956875" maxValue="1458443968"/>
    </cacheField>
    <cacheField name="total_queries" numFmtId="0">
      <sharedItems containsString="0" containsBlank="1" containsNumber="1" containsInteger="1" minValue="162149001" maxValue="7423780614"/>
    </cacheField>
    <cacheField name="total_ops" numFmtId="0">
      <sharedItems containsString="0" containsBlank="1" containsNumber="1" containsInteger="1" minValue="270236887" maxValue="7498765180"/>
    </cacheField>
    <cacheField name="find_throughput" numFmtId="0">
      <sharedItems containsString="0" containsBlank="1" containsNumber="1" containsInteger="1" minValue="5404966" maxValue="247459353"/>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98562" maxValue="48614798"/>
    </cacheField>
    <cacheField name="query_throughput" numFmtId="0">
      <sharedItems containsString="0" containsBlank="1" containsNumber="1" containsInteger="1" minValue="5404966" maxValue="247459353"/>
    </cacheField>
    <cacheField name="total_throughput" numFmtId="0">
      <sharedItems containsString="0" containsBlank="1" containsNumber="1" containsInteger="1" minValue="9007896" maxValue="249958839"/>
    </cacheField>
    <cacheField name="PAPI_L2_TCM" numFmtId="0">
      <sharedItems containsString="0" containsBlank="1" containsNumber="1" minValue="16.069500000000001" maxValue="46.8247"/>
    </cacheField>
    <cacheField name="PAPI_L3_TCM" numFmtId="0">
      <sharedItems containsString="0" containsBlank="1" containsNumber="1" minValue="4.9991000000000003" maxValue="20.191600000000001"/>
    </cacheField>
    <cacheField name="PAPI_TOT_CYC" numFmtId="0">
      <sharedItems containsString="0" containsBlank="1" containsNumber="1" minValue="1902.5" maxValue="9799.59"/>
    </cacheField>
    <cacheField name="PAPI_RES_STL" numFmtId="0">
      <sharedItems containsNonDate="0" containsString="0" containsBlank="1"/>
    </cacheField>
    <cacheField name="maxresident_mb" numFmtId="0">
      <sharedItems containsString="0" containsBlank="1" containsNumber="1" containsInteger="1" minValue="1440" maxValue="17083"/>
    </cacheField>
    <cacheField name="prefill_elapsed_ms" numFmtId="0">
      <sharedItems containsString="0" containsBlank="1" containsNumber="1" containsInteger="1" minValue="155" maxValue="1978"/>
    </cacheField>
    <cacheField name="exp" numFmtId="0">
      <sharedItems containsBlank="1" count="3">
        <s v="u=1%, k=2x10^7"/>
        <s v="u=40%, k=2x10^7"/>
        <m/>
      </sharedItems>
    </cacheField>
    <cacheField name="full_rebuild_count" numFmtId="0">
      <sharedItems containsBlank="1"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1">
  <r>
    <s v="istree_exp8_full_comparison/step10001.txt"/>
    <x v="0"/>
    <m/>
    <s v="reclaimer_debra"/>
    <s v="allocator_new"/>
    <s v="pool_none"/>
    <n v="30000"/>
    <n v="0.5"/>
    <n v="0.5"/>
    <n v="0"/>
    <n v="1"/>
    <n v="20000000"/>
    <n v="24"/>
    <x v="0"/>
    <n v="24"/>
    <n v="0"/>
    <s v="insertIfAbsent"/>
    <n v="99980219147132"/>
    <n v="9999101"/>
    <n v="99980219147132"/>
    <n v="9999101"/>
    <s v="success"/>
    <n v="63"/>
    <n v="9999102"/>
    <n v="9999103"/>
    <n v="19998205"/>
    <n v="9999101"/>
    <n v="2"/>
    <n v="1"/>
    <n v="33.4069"/>
    <n v="799928200"/>
    <m/>
    <m/>
    <m/>
    <s v="4996 115900"/>
    <m/>
    <m/>
    <m/>
    <m/>
    <m/>
    <m/>
    <n v="292554254"/>
    <n v="0"/>
    <n v="2956875"/>
    <n v="292554254"/>
    <n v="295511129"/>
    <n v="9751808"/>
    <n v="0"/>
    <n v="98562"/>
    <n v="9751808"/>
    <n v="9850370"/>
    <n v="35.176000000000002"/>
    <n v="12.363799999999999"/>
    <n v="6796.85"/>
    <m/>
    <n v="2022"/>
    <n v="1978"/>
    <x v="0"/>
    <n v="0"/>
  </r>
  <r>
    <s v="istree_exp8_full_comparison/step10002.txt"/>
    <x v="0"/>
    <m/>
    <s v="reclaimer_debra"/>
    <s v="allocator_new"/>
    <s v="pool_none"/>
    <n v="30000"/>
    <n v="0.5"/>
    <n v="0.5"/>
    <n v="0"/>
    <n v="1"/>
    <n v="20000000"/>
    <n v="48"/>
    <x v="1"/>
    <n v="48"/>
    <n v="0"/>
    <s v="insertIfAbsent"/>
    <n v="100003174318498"/>
    <n v="9998730"/>
    <n v="100003174318498"/>
    <n v="9998730"/>
    <s v="success"/>
    <n v="59"/>
    <n v="9998731"/>
    <n v="9998732"/>
    <n v="19997463"/>
    <n v="9998730"/>
    <n v="2"/>
    <n v="1"/>
    <n v="33.324599999999997"/>
    <n v="799898520"/>
    <m/>
    <m/>
    <m/>
    <s v="1244 52716"/>
    <m/>
    <m/>
    <m/>
    <m/>
    <m/>
    <m/>
    <n v="553315717"/>
    <n v="0"/>
    <n v="5589089"/>
    <n v="553315717"/>
    <n v="558904806"/>
    <n v="18443857"/>
    <n v="0"/>
    <n v="186302"/>
    <n v="18443857"/>
    <n v="18630160"/>
    <n v="36.729100000000003"/>
    <n v="13.075799999999999"/>
    <n v="7185.24"/>
    <m/>
    <n v="2042"/>
    <n v="1528"/>
    <x v="0"/>
    <n v="0"/>
  </r>
  <r>
    <s v="istree_exp8_full_comparison/step10003.txt"/>
    <x v="0"/>
    <m/>
    <s v="reclaimer_debra"/>
    <s v="allocator_new"/>
    <s v="pool_none"/>
    <n v="30000"/>
    <n v="0.5"/>
    <n v="0.5"/>
    <n v="0"/>
    <n v="1"/>
    <n v="20000000"/>
    <n v="96"/>
    <x v="2"/>
    <n v="96"/>
    <n v="0"/>
    <s v="insertIfAbsent"/>
    <n v="99994041774550"/>
    <n v="9999102"/>
    <n v="99994041774550"/>
    <n v="9999102"/>
    <s v="success"/>
    <n v="62"/>
    <n v="9999103"/>
    <n v="9999104"/>
    <n v="19998207"/>
    <n v="9999102"/>
    <n v="2"/>
    <n v="1"/>
    <n v="33.3367"/>
    <n v="799928280"/>
    <m/>
    <m/>
    <m/>
    <s v="440 28242"/>
    <m/>
    <m/>
    <m/>
    <m/>
    <m/>
    <m/>
    <n v="1226744798"/>
    <n v="0"/>
    <n v="12389126"/>
    <n v="1226744798"/>
    <n v="1239133924"/>
    <n v="40891493"/>
    <n v="0"/>
    <n v="412970"/>
    <n v="40891493"/>
    <n v="41304464"/>
    <n v="38.339199999999998"/>
    <n v="15.328799999999999"/>
    <n v="6468.86"/>
    <m/>
    <n v="2085"/>
    <n v="1247"/>
    <x v="0"/>
    <n v="0"/>
  </r>
  <r>
    <s v="istree_exp8_full_comparison/step10004.txt"/>
    <x v="0"/>
    <m/>
    <s v="reclaimer_debra"/>
    <s v="allocator_new"/>
    <s v="pool_none"/>
    <n v="30000"/>
    <n v="0.5"/>
    <n v="0.5"/>
    <n v="0"/>
    <n v="1"/>
    <n v="20000000"/>
    <n v="144"/>
    <x v="3"/>
    <n v="144"/>
    <n v="0"/>
    <s v="insertIfAbsent"/>
    <n v="99995385549048"/>
    <n v="9998448"/>
    <n v="99995385549048"/>
    <n v="9998448"/>
    <s v="success"/>
    <n v="60"/>
    <n v="9998449"/>
    <n v="9998450"/>
    <n v="19996899"/>
    <n v="9998448"/>
    <n v="2"/>
    <n v="1"/>
    <n v="32.689799999999998"/>
    <n v="799875960"/>
    <m/>
    <m/>
    <m/>
    <s v="352 18910"/>
    <m/>
    <m/>
    <m/>
    <m/>
    <m/>
    <m/>
    <n v="1853292340"/>
    <n v="0"/>
    <n v="18714985"/>
    <n v="1853292340"/>
    <n v="1872007325"/>
    <n v="61776411"/>
    <n v="0"/>
    <n v="623832"/>
    <n v="61776411"/>
    <n v="62400244"/>
    <n v="38.735599999999998"/>
    <n v="15.777100000000001"/>
    <n v="6420.89"/>
    <m/>
    <n v="2109"/>
    <n v="892"/>
    <x v="0"/>
    <n v="0"/>
  </r>
  <r>
    <s v="istree_exp8_full_comparison/step10005.txt"/>
    <x v="0"/>
    <m/>
    <s v="reclaimer_debra"/>
    <s v="allocator_new"/>
    <s v="pool_none"/>
    <n v="30000"/>
    <n v="0.5"/>
    <n v="0.5"/>
    <n v="0"/>
    <n v="1"/>
    <n v="20000000"/>
    <n v="190"/>
    <x v="4"/>
    <n v="190"/>
    <n v="0"/>
    <s v="insertIfAbsent"/>
    <n v="100014157721068"/>
    <n v="10000550"/>
    <n v="100014157721068"/>
    <n v="10000550"/>
    <s v="success"/>
    <n v="65"/>
    <n v="10000551"/>
    <n v="10000552"/>
    <n v="20001103"/>
    <n v="10000550"/>
    <n v="2"/>
    <n v="1"/>
    <n v="33.039499999999997"/>
    <n v="800044120"/>
    <m/>
    <m/>
    <m/>
    <s v="306 14632"/>
    <m/>
    <m/>
    <m/>
    <m/>
    <m/>
    <m/>
    <n v="2450277379"/>
    <n v="0"/>
    <n v="24751140"/>
    <n v="2450277379"/>
    <n v="2475028519"/>
    <n v="81675912"/>
    <n v="0"/>
    <n v="825038"/>
    <n v="81675912"/>
    <n v="82500950"/>
    <n v="39.0182"/>
    <n v="16.148299999999999"/>
    <n v="6405.93"/>
    <m/>
    <n v="2145"/>
    <n v="1015"/>
    <x v="0"/>
    <n v="0"/>
  </r>
  <r>
    <s v="istree_exp8_full_comparison/step10006.txt"/>
    <x v="1"/>
    <m/>
    <s v="reclaimer_debra"/>
    <s v="allocator_new"/>
    <s v="pool_none"/>
    <n v="30000"/>
    <n v="0.5"/>
    <n v="0.5"/>
    <n v="0"/>
    <n v="1"/>
    <n v="20000000"/>
    <n v="24"/>
    <x v="0"/>
    <n v="24"/>
    <n v="0"/>
    <s v="insertIfAbsent"/>
    <n v="99979808019076"/>
    <n v="10000421"/>
    <n v="99979808019076"/>
    <n v="10000421"/>
    <s v="success"/>
    <n v="60"/>
    <n v="10000421"/>
    <n v="10000422"/>
    <n v="20000843"/>
    <n v="10000421"/>
    <n v="2"/>
    <n v="1"/>
    <n v="30.924299999999999"/>
    <n v="800033720"/>
    <m/>
    <m/>
    <m/>
    <s v="4864 116988"/>
    <m/>
    <m/>
    <m/>
    <m/>
    <m/>
    <m/>
    <n v="295598195"/>
    <n v="0"/>
    <n v="2990736"/>
    <n v="295598195"/>
    <n v="298588931"/>
    <n v="9853273"/>
    <n v="0"/>
    <n v="99691"/>
    <n v="9853273"/>
    <n v="9952964"/>
    <n v="36.816499999999998"/>
    <n v="13.4002"/>
    <n v="6726.71"/>
    <m/>
    <n v="2021"/>
    <n v="1756"/>
    <x v="0"/>
    <n v="0"/>
  </r>
  <r>
    <s v="istree_exp8_full_comparison/step10007.txt"/>
    <x v="1"/>
    <m/>
    <s v="reclaimer_debra"/>
    <s v="allocator_new"/>
    <s v="pool_none"/>
    <n v="30000"/>
    <n v="0.5"/>
    <n v="0.5"/>
    <n v="0"/>
    <n v="1"/>
    <n v="20000000"/>
    <n v="48"/>
    <x v="1"/>
    <n v="48"/>
    <n v="0"/>
    <s v="insertIfAbsent"/>
    <n v="99999950291963"/>
    <n v="10001357"/>
    <n v="99999950291963"/>
    <n v="10001357"/>
    <s v="success"/>
    <n v="60"/>
    <n v="10001357"/>
    <n v="10001358"/>
    <n v="20002715"/>
    <n v="10001357"/>
    <n v="2"/>
    <n v="1"/>
    <n v="30.9954"/>
    <n v="800108600"/>
    <m/>
    <m/>
    <m/>
    <s v="882 52712"/>
    <m/>
    <m/>
    <m/>
    <m/>
    <m/>
    <m/>
    <n v="557249077"/>
    <n v="0"/>
    <n v="5631653"/>
    <n v="557249077"/>
    <n v="562880730"/>
    <n v="18574969"/>
    <n v="0"/>
    <n v="187721"/>
    <n v="18574969"/>
    <n v="18762691"/>
    <n v="37.8919"/>
    <n v="13.9034"/>
    <n v="7134.9"/>
    <m/>
    <n v="2027"/>
    <n v="1352"/>
    <x v="0"/>
    <n v="0"/>
  </r>
  <r>
    <s v="istree_exp8_full_comparison/step10008.txt"/>
    <x v="1"/>
    <m/>
    <s v="reclaimer_debra"/>
    <s v="allocator_new"/>
    <s v="pool_none"/>
    <n v="30000"/>
    <n v="0.5"/>
    <n v="0.5"/>
    <n v="0"/>
    <n v="1"/>
    <n v="20000000"/>
    <n v="96"/>
    <x v="2"/>
    <n v="96"/>
    <n v="0"/>
    <s v="insertIfAbsent"/>
    <n v="99988015998376"/>
    <n v="9998724"/>
    <n v="99988015998376"/>
    <n v="9998724"/>
    <s v="success"/>
    <n v="60"/>
    <n v="9998724"/>
    <n v="9998725"/>
    <n v="19997449"/>
    <n v="9998724"/>
    <n v="2"/>
    <n v="1"/>
    <n v="31.386299999999999"/>
    <n v="799897960"/>
    <m/>
    <m/>
    <m/>
    <s v="288 29080"/>
    <m/>
    <m/>
    <m/>
    <m/>
    <m/>
    <m/>
    <n v="1255229908"/>
    <n v="0"/>
    <n v="12676464"/>
    <n v="1255229908"/>
    <n v="1267906372"/>
    <n v="41840996"/>
    <n v="0"/>
    <n v="422548"/>
    <n v="41840996"/>
    <n v="42263545"/>
    <n v="38.763199999999998"/>
    <n v="15.878"/>
    <n v="6322.34"/>
    <m/>
    <n v="2045"/>
    <n v="860"/>
    <x v="0"/>
    <n v="0"/>
  </r>
  <r>
    <s v="istree_exp8_full_comparison/step10009.txt"/>
    <x v="1"/>
    <m/>
    <s v="reclaimer_debra"/>
    <s v="allocator_new"/>
    <s v="pool_none"/>
    <n v="30000"/>
    <n v="0.5"/>
    <n v="0.5"/>
    <n v="0"/>
    <n v="1"/>
    <n v="20000000"/>
    <n v="144"/>
    <x v="3"/>
    <n v="144"/>
    <n v="0"/>
    <s v="insertIfAbsent"/>
    <n v="99981025677302"/>
    <n v="9996831"/>
    <n v="99981025677302"/>
    <n v="9996831"/>
    <s v="success"/>
    <n v="64"/>
    <n v="9996831"/>
    <n v="9996832"/>
    <n v="19993663"/>
    <n v="9996831"/>
    <n v="2"/>
    <n v="1"/>
    <n v="31.285"/>
    <n v="799746520"/>
    <m/>
    <m/>
    <m/>
    <s v="220 19214"/>
    <m/>
    <m/>
    <m/>
    <m/>
    <m/>
    <m/>
    <n v="1895927679"/>
    <n v="0"/>
    <n v="19156337"/>
    <n v="1895927679"/>
    <n v="1915084016"/>
    <n v="63197589"/>
    <n v="0"/>
    <n v="638544"/>
    <n v="63197589"/>
    <n v="63836133"/>
    <n v="39.302799999999998"/>
    <n v="16.1096"/>
    <n v="6277.46"/>
    <m/>
    <n v="2062"/>
    <n v="498"/>
    <x v="0"/>
    <n v="0"/>
  </r>
  <r>
    <s v="istree_exp8_full_comparison/step10010.txt"/>
    <x v="1"/>
    <m/>
    <s v="reclaimer_debra"/>
    <s v="allocator_new"/>
    <s v="pool_none"/>
    <n v="30000"/>
    <n v="0.5"/>
    <n v="0.5"/>
    <n v="0"/>
    <n v="1"/>
    <n v="20000000"/>
    <n v="190"/>
    <x v="4"/>
    <n v="190"/>
    <n v="0"/>
    <s v="insertIfAbsent"/>
    <n v="100003446343990"/>
    <n v="9998419"/>
    <n v="100003446343990"/>
    <n v="9998419"/>
    <s v="success"/>
    <n v="61"/>
    <n v="9998419"/>
    <n v="9998420"/>
    <n v="19996839"/>
    <n v="9998419"/>
    <n v="2"/>
    <n v="1"/>
    <n v="32.056399999999996"/>
    <n v="799873560"/>
    <m/>
    <m/>
    <m/>
    <s v="150 14844"/>
    <m/>
    <m/>
    <m/>
    <m/>
    <m/>
    <m/>
    <n v="2493871871"/>
    <n v="0"/>
    <n v="25192558"/>
    <n v="2493871871"/>
    <n v="2519064429"/>
    <n v="83129062"/>
    <n v="0"/>
    <n v="839751"/>
    <n v="83129062"/>
    <n v="83968814"/>
    <n v="39.426200000000001"/>
    <n v="16.241700000000002"/>
    <n v="6293.09"/>
    <m/>
    <n v="2078"/>
    <n v="502"/>
    <x v="0"/>
    <n v="0"/>
  </r>
  <r>
    <s v="istree_exp8_full_comparison/step10011.txt"/>
    <x v="2"/>
    <m/>
    <s v="reclaimer_debra"/>
    <s v="allocator_new"/>
    <s v="pool_none"/>
    <n v="30000"/>
    <n v="0.5"/>
    <n v="0.5"/>
    <n v="0"/>
    <n v="1"/>
    <n v="20000000"/>
    <n v="24"/>
    <x v="0"/>
    <n v="24"/>
    <n v="0"/>
    <s v="insertIfAbsent"/>
    <n v="100032898781113"/>
    <n v="10002796"/>
    <n v="100032898781113"/>
    <n v="10002796"/>
    <s v="success"/>
    <n v="61"/>
    <n v="6653731"/>
    <n v="3349066"/>
    <n v="10002797"/>
    <n v="10002796"/>
    <n v="1.5033399999999999"/>
    <n v="2.9867400000000002"/>
    <n v="29.925799999999999"/>
    <n v="640179008"/>
    <m/>
    <m/>
    <m/>
    <s v="9934 146410"/>
    <m/>
    <m/>
    <m/>
    <m/>
    <m/>
    <m/>
    <n v="350259773"/>
    <n v="0"/>
    <n v="3537697"/>
    <n v="350259773"/>
    <n v="353797470"/>
    <n v="11675325"/>
    <n v="0"/>
    <n v="117923"/>
    <n v="11675325"/>
    <n v="11793249"/>
    <n v="23.498899999999999"/>
    <n v="8.21218"/>
    <n v="5676.8"/>
    <m/>
    <n v="1768"/>
    <n v="1587"/>
    <x v="0"/>
    <n v="0"/>
  </r>
  <r>
    <s v="istree_exp8_full_comparison/step10012.txt"/>
    <x v="2"/>
    <m/>
    <s v="reclaimer_debra"/>
    <s v="allocator_new"/>
    <s v="pool_none"/>
    <n v="30000"/>
    <n v="0.5"/>
    <n v="0.5"/>
    <n v="0"/>
    <n v="1"/>
    <n v="20000000"/>
    <n v="48"/>
    <x v="1"/>
    <n v="48"/>
    <n v="0"/>
    <s v="insertIfAbsent"/>
    <n v="100003182628763"/>
    <n v="10000868"/>
    <n v="100003182628763"/>
    <n v="10000868"/>
    <s v="success"/>
    <n v="59"/>
    <n v="6640224"/>
    <n v="3360645"/>
    <n v="10000869"/>
    <n v="10000868"/>
    <n v="1.5061"/>
    <n v="2.9758800000000001"/>
    <n v="30.233799999999999"/>
    <n v="640055616"/>
    <m/>
    <m/>
    <m/>
    <s v="2444 66698"/>
    <m/>
    <m/>
    <m/>
    <m/>
    <m/>
    <m/>
    <n v="673311320"/>
    <n v="0"/>
    <n v="6803376"/>
    <n v="673311320"/>
    <n v="680114696"/>
    <n v="22443710"/>
    <n v="0"/>
    <n v="226779"/>
    <n v="22443710"/>
    <n v="22670489"/>
    <n v="25.171399999999998"/>
    <n v="8.7251999999999992"/>
    <n v="5905.03"/>
    <m/>
    <n v="1825"/>
    <n v="1085"/>
    <x v="0"/>
    <n v="0"/>
  </r>
  <r>
    <s v="istree_exp8_full_comparison/step10013.txt"/>
    <x v="2"/>
    <m/>
    <s v="reclaimer_debra"/>
    <s v="allocator_new"/>
    <s v="pool_none"/>
    <n v="30000"/>
    <n v="0.5"/>
    <n v="0.5"/>
    <n v="0"/>
    <n v="1"/>
    <n v="20000000"/>
    <n v="96"/>
    <x v="2"/>
    <n v="96"/>
    <n v="0"/>
    <s v="insertIfAbsent"/>
    <n v="100051799029462"/>
    <n v="10003658"/>
    <n v="100051799029462"/>
    <n v="10003658"/>
    <s v="success"/>
    <n v="61"/>
    <n v="6611444"/>
    <n v="3392215"/>
    <n v="10003659"/>
    <n v="10003658"/>
    <n v="1.51308"/>
    <n v="2.9489999999999998"/>
    <n v="31.366199999999999"/>
    <n v="640234176"/>
    <m/>
    <m/>
    <m/>
    <s v="616 36664"/>
    <m/>
    <m/>
    <m/>
    <m/>
    <m/>
    <m/>
    <n v="1537968500"/>
    <n v="0"/>
    <n v="15536613"/>
    <n v="1537968500"/>
    <n v="1553505113"/>
    <n v="51265616"/>
    <n v="0"/>
    <n v="517887"/>
    <n v="51265616"/>
    <n v="51783503"/>
    <n v="26.031600000000001"/>
    <n v="10.011100000000001"/>
    <n v="5162.6400000000003"/>
    <m/>
    <n v="1971"/>
    <n v="762"/>
    <x v="0"/>
    <n v="0"/>
  </r>
  <r>
    <s v="istree_exp8_full_comparison/step10014.txt"/>
    <x v="2"/>
    <m/>
    <s v="reclaimer_debra"/>
    <s v="allocator_new"/>
    <s v="pool_none"/>
    <n v="30000"/>
    <n v="0.5"/>
    <n v="0.5"/>
    <n v="0"/>
    <n v="1"/>
    <n v="20000000"/>
    <n v="144"/>
    <x v="3"/>
    <n v="144"/>
    <n v="0"/>
    <s v="insertIfAbsent"/>
    <n v="99948009176665"/>
    <n v="9996962"/>
    <n v="99948009176665"/>
    <n v="9996962"/>
    <s v="success"/>
    <n v="59"/>
    <n v="6587141"/>
    <n v="3409822"/>
    <n v="9996963"/>
    <n v="9996962"/>
    <n v="1.5176499999999999"/>
    <n v="2.93181"/>
    <n v="29.894600000000001"/>
    <n v="639805632"/>
    <m/>
    <m/>
    <m/>
    <s v="452 24292"/>
    <m/>
    <m/>
    <m/>
    <m/>
    <m/>
    <m/>
    <n v="2347558935"/>
    <n v="0"/>
    <n v="23704962"/>
    <n v="2347558935"/>
    <n v="2371263897"/>
    <n v="78251964"/>
    <n v="0"/>
    <n v="790165"/>
    <n v="78251964"/>
    <n v="79042129"/>
    <n v="26.2209"/>
    <n v="10.1379"/>
    <n v="5071.4399999999996"/>
    <m/>
    <n v="2115"/>
    <n v="451"/>
    <x v="0"/>
    <n v="0"/>
  </r>
  <r>
    <s v="istree_exp8_full_comparison/step10015.txt"/>
    <x v="2"/>
    <m/>
    <s v="reclaimer_debra"/>
    <s v="allocator_new"/>
    <s v="pool_none"/>
    <n v="30000"/>
    <n v="0.5"/>
    <n v="0.5"/>
    <n v="0"/>
    <n v="1"/>
    <n v="20000000"/>
    <n v="190"/>
    <x v="4"/>
    <n v="190"/>
    <n v="0"/>
    <s v="insertIfAbsent"/>
    <n v="99993474165908"/>
    <n v="10001855"/>
    <n v="99993474165908"/>
    <n v="10001855"/>
    <s v="success"/>
    <n v="61"/>
    <n v="6576539"/>
    <n v="3425317"/>
    <n v="10001856"/>
    <n v="10001855"/>
    <n v="1.52084"/>
    <n v="2.9199799999999998"/>
    <n v="31.5078"/>
    <n v="640118784"/>
    <m/>
    <m/>
    <m/>
    <s v="312 19020"/>
    <m/>
    <m/>
    <m/>
    <m/>
    <m/>
    <m/>
    <n v="3114890466"/>
    <n v="0"/>
    <n v="31468440"/>
    <n v="3114890466"/>
    <n v="3146358906"/>
    <n v="103829682"/>
    <n v="0"/>
    <n v="1048948"/>
    <n v="103829682"/>
    <n v="104878630"/>
    <n v="26.232900000000001"/>
    <n v="10.152799999999999"/>
    <n v="5040.72"/>
    <m/>
    <n v="2248"/>
    <n v="495"/>
    <x v="0"/>
    <n v="0"/>
  </r>
  <r>
    <s v="istree_exp8_full_comparison/step10016.txt"/>
    <x v="3"/>
    <m/>
    <s v="reclaimer_debra"/>
    <s v="allocator_new"/>
    <s v="pool_none"/>
    <n v="30000"/>
    <n v="0.5"/>
    <n v="0.5"/>
    <n v="0"/>
    <n v="1"/>
    <n v="20000000"/>
    <n v="24"/>
    <x v="0"/>
    <n v="24"/>
    <n v="0"/>
    <s v="insertIfAbsent"/>
    <n v="100133407930881"/>
    <n v="10014035"/>
    <n v="100004585867945"/>
    <n v="10001228"/>
    <s v="fail"/>
    <n v="63"/>
    <n v="6652853"/>
    <n v="3348378"/>
    <n v="10001231"/>
    <n v="10001228"/>
    <n v="1.5033000000000001"/>
    <n v="2.9868899999999998"/>
    <n v="32.576700000000002"/>
    <n v="400049240"/>
    <m/>
    <m/>
    <m/>
    <s v="4972 139174"/>
    <m/>
    <m/>
    <m/>
    <m/>
    <m/>
    <m/>
    <m/>
    <m/>
    <m/>
    <m/>
    <m/>
    <m/>
    <m/>
    <m/>
    <m/>
    <m/>
    <m/>
    <m/>
    <m/>
    <m/>
    <n v="1601"/>
    <n v="1373"/>
    <x v="0"/>
    <n v="0"/>
  </r>
  <r>
    <s v="istree_exp8_full_comparison/step10017.txt"/>
    <x v="3"/>
    <m/>
    <s v="reclaimer_debra"/>
    <s v="allocator_new"/>
    <s v="pool_none"/>
    <n v="30000"/>
    <n v="0.5"/>
    <n v="0.5"/>
    <n v="0"/>
    <n v="1"/>
    <n v="20000000"/>
    <n v="48"/>
    <x v="1"/>
    <n v="48"/>
    <n v="0"/>
    <s v="insertIfAbsent"/>
    <n v="100461267521877"/>
    <n v="10046101"/>
    <n v="100006698865116"/>
    <n v="10000754"/>
    <s v="fail"/>
    <n v="66"/>
    <n v="6639620"/>
    <n v="3361137"/>
    <n v="10000757"/>
    <n v="10000754"/>
    <n v="1.5062199999999999"/>
    <n v="2.9754100000000001"/>
    <n v="32.445300000000003"/>
    <n v="400030280"/>
    <m/>
    <m/>
    <m/>
    <s v="1216 63648"/>
    <m/>
    <m/>
    <m/>
    <m/>
    <m/>
    <m/>
    <m/>
    <m/>
    <m/>
    <m/>
    <m/>
    <m/>
    <m/>
    <m/>
    <m/>
    <m/>
    <m/>
    <m/>
    <m/>
    <m/>
    <n v="1658"/>
    <n v="994"/>
    <x v="0"/>
    <n v="0"/>
  </r>
  <r>
    <s v="istree_exp8_full_comparison/step10018.txt"/>
    <x v="3"/>
    <m/>
    <s v="reclaimer_debra"/>
    <s v="allocator_new"/>
    <s v="pool_none"/>
    <n v="30000"/>
    <n v="0.5"/>
    <n v="0.5"/>
    <n v="0"/>
    <n v="1"/>
    <n v="20000000"/>
    <n v="96"/>
    <x v="2"/>
    <n v="96"/>
    <n v="0"/>
    <s v="insertIfAbsent"/>
    <n v="102099964193466"/>
    <n v="10212501"/>
    <n v="99961453286784"/>
    <n v="9998704"/>
    <s v="fail"/>
    <n v="67"/>
    <n v="6608594"/>
    <n v="3390113"/>
    <n v="9998707"/>
    <n v="9998704"/>
    <n v="1.5129900000000001"/>
    <n v="2.94937"/>
    <n v="33.411999999999999"/>
    <n v="399948280"/>
    <m/>
    <m/>
    <m/>
    <s v="286 34858"/>
    <m/>
    <m/>
    <m/>
    <m/>
    <m/>
    <m/>
    <m/>
    <m/>
    <m/>
    <m/>
    <m/>
    <m/>
    <m/>
    <m/>
    <m/>
    <m/>
    <m/>
    <m/>
    <m/>
    <m/>
    <n v="1807"/>
    <n v="682"/>
    <x v="0"/>
    <n v="0"/>
  </r>
  <r>
    <s v="istree_exp8_full_comparison/step10019.txt"/>
    <x v="3"/>
    <m/>
    <s v="reclaimer_debra"/>
    <s v="allocator_new"/>
    <s v="pool_none"/>
    <n v="30000"/>
    <n v="0.5"/>
    <n v="0.5"/>
    <n v="0"/>
    <n v="1"/>
    <n v="20000000"/>
    <n v="144"/>
    <x v="3"/>
    <n v="144"/>
    <n v="0"/>
    <s v="insertIfAbsent"/>
    <n v="104589488680686"/>
    <n v="10457628"/>
    <n v="100048738440980"/>
    <n v="10002673"/>
    <s v="fail"/>
    <n v="63"/>
    <n v="6589089"/>
    <n v="3413587"/>
    <n v="10002676"/>
    <n v="10002673"/>
    <n v="1.51807"/>
    <n v="2.93025"/>
    <n v="31.706800000000001"/>
    <n v="400107040"/>
    <m/>
    <m/>
    <m/>
    <s v="214 23090"/>
    <m/>
    <m/>
    <m/>
    <m/>
    <m/>
    <m/>
    <m/>
    <m/>
    <m/>
    <m/>
    <m/>
    <m/>
    <m/>
    <m/>
    <m/>
    <m/>
    <m/>
    <m/>
    <m/>
    <m/>
    <n v="1945"/>
    <n v="414"/>
    <x v="0"/>
    <n v="0"/>
  </r>
  <r>
    <s v="istree_exp8_full_comparison/step10020.txt"/>
    <x v="3"/>
    <m/>
    <s v="reclaimer_debra"/>
    <s v="allocator_new"/>
    <s v="pool_none"/>
    <n v="30000"/>
    <n v="0.5"/>
    <n v="0.5"/>
    <n v="0"/>
    <n v="1"/>
    <n v="20000000"/>
    <n v="190"/>
    <x v="4"/>
    <n v="190"/>
    <n v="0"/>
    <s v="insertIfAbsent"/>
    <n v="107551555702250"/>
    <n v="10755149"/>
    <n v="100002307867761"/>
    <n v="10000519"/>
    <s v="fail"/>
    <n v="57"/>
    <n v="6579099"/>
    <n v="3421423"/>
    <n v="10000522"/>
    <n v="10000519"/>
    <n v="1.5200400000000001"/>
    <n v="2.9229099999999999"/>
    <n v="31.5136"/>
    <n v="400020880"/>
    <m/>
    <m/>
    <m/>
    <s v="166 17678"/>
    <m/>
    <m/>
    <m/>
    <m/>
    <m/>
    <m/>
    <m/>
    <m/>
    <m/>
    <m/>
    <m/>
    <m/>
    <m/>
    <m/>
    <m/>
    <m/>
    <m/>
    <m/>
    <m/>
    <m/>
    <n v="2073"/>
    <n v="433"/>
    <x v="0"/>
    <n v="0"/>
  </r>
  <r>
    <s v="istree_exp8_full_comparison/step10021.txt"/>
    <x v="4"/>
    <m/>
    <s v="reclaimer_debra"/>
    <s v="allocator_new"/>
    <s v="pool_none"/>
    <n v="30000"/>
    <n v="0.5"/>
    <n v="0.5"/>
    <n v="0"/>
    <n v="1"/>
    <n v="20000000"/>
    <n v="24"/>
    <x v="0"/>
    <n v="24"/>
    <n v="0"/>
    <s v="insertIfAbsent"/>
    <n v="99986724933454"/>
    <n v="9997488"/>
    <n v="99986724933454"/>
    <n v="9997488"/>
    <s v="success"/>
    <n v="59"/>
    <n v="9997487"/>
    <n v="9997488"/>
    <n v="19994975"/>
    <n v="9997488"/>
    <n v="2"/>
    <n v="1"/>
    <n v="31.386800000000001"/>
    <n v="959758800"/>
    <m/>
    <m/>
    <m/>
    <s v="4908 116322"/>
    <m/>
    <m/>
    <m/>
    <m/>
    <m/>
    <m/>
    <n v="293926414"/>
    <n v="0"/>
    <n v="2967817"/>
    <n v="293926414"/>
    <n v="296894231"/>
    <n v="9797547"/>
    <n v="0"/>
    <n v="98927"/>
    <n v="9797547"/>
    <n v="9896474"/>
    <n v="37.061"/>
    <n v="13.602600000000001"/>
    <n v="6765.4"/>
    <m/>
    <n v="2021"/>
    <n v="1766"/>
    <x v="0"/>
    <n v="0"/>
  </r>
  <r>
    <s v="istree_exp8_full_comparison/step10022.txt"/>
    <x v="4"/>
    <m/>
    <s v="reclaimer_debra"/>
    <s v="allocator_new"/>
    <s v="pool_none"/>
    <n v="30000"/>
    <n v="0.5"/>
    <n v="0.5"/>
    <n v="0"/>
    <n v="1"/>
    <n v="20000000"/>
    <n v="48"/>
    <x v="1"/>
    <n v="48"/>
    <n v="0"/>
    <s v="insertIfAbsent"/>
    <n v="99979926531810"/>
    <n v="9998715"/>
    <n v="99979926531810"/>
    <n v="9998715"/>
    <s v="success"/>
    <n v="58"/>
    <n v="9998714"/>
    <n v="9998715"/>
    <n v="19997429"/>
    <n v="9998715"/>
    <n v="2"/>
    <n v="1"/>
    <n v="30.7837"/>
    <n v="959876592"/>
    <m/>
    <m/>
    <m/>
    <s v="1218 52916"/>
    <m/>
    <m/>
    <m/>
    <m/>
    <m/>
    <m/>
    <n v="555817221"/>
    <n v="0"/>
    <n v="5613468"/>
    <n v="555817221"/>
    <n v="561430689"/>
    <n v="18527240"/>
    <n v="0"/>
    <n v="187115"/>
    <n v="18527240"/>
    <n v="18714356"/>
    <n v="38.136699999999998"/>
    <n v="14.124499999999999"/>
    <n v="7153.06"/>
    <m/>
    <n v="2028"/>
    <n v="1255"/>
    <x v="0"/>
    <n v="0"/>
  </r>
  <r>
    <s v="istree_exp8_full_comparison/step10023.txt"/>
    <x v="4"/>
    <m/>
    <s v="reclaimer_debra"/>
    <s v="allocator_new"/>
    <s v="pool_none"/>
    <n v="30000"/>
    <n v="0.5"/>
    <n v="0.5"/>
    <n v="0"/>
    <n v="1"/>
    <n v="20000000"/>
    <n v="96"/>
    <x v="2"/>
    <n v="96"/>
    <n v="0"/>
    <s v="insertIfAbsent"/>
    <n v="100040594907044"/>
    <n v="10002685"/>
    <n v="100040594907044"/>
    <n v="10002685"/>
    <s v="success"/>
    <n v="61"/>
    <n v="10002684"/>
    <n v="10002685"/>
    <n v="20005369"/>
    <n v="10002685"/>
    <n v="2"/>
    <n v="1"/>
    <n v="31.076899999999998"/>
    <n v="960257712"/>
    <m/>
    <m/>
    <m/>
    <s v="296 28866"/>
    <m/>
    <m/>
    <m/>
    <m/>
    <m/>
    <m/>
    <n v="1245524169"/>
    <n v="0"/>
    <n v="12581199"/>
    <n v="1245524169"/>
    <n v="1258105368"/>
    <n v="41517472"/>
    <n v="0"/>
    <n v="419373"/>
    <n v="41517472"/>
    <n v="41936845"/>
    <n v="39.353900000000003"/>
    <n v="16.196000000000002"/>
    <n v="6371.42"/>
    <m/>
    <n v="2046"/>
    <n v="857"/>
    <x v="0"/>
    <n v="0"/>
  </r>
  <r>
    <s v="istree_exp8_full_comparison/step10024.txt"/>
    <x v="4"/>
    <m/>
    <s v="reclaimer_debra"/>
    <s v="allocator_new"/>
    <s v="pool_none"/>
    <n v="30000"/>
    <n v="0.5"/>
    <n v="0.5"/>
    <n v="0"/>
    <n v="1"/>
    <n v="20000000"/>
    <n v="144"/>
    <x v="3"/>
    <n v="144"/>
    <n v="0"/>
    <s v="insertIfAbsent"/>
    <n v="100031689925665"/>
    <n v="10004353"/>
    <n v="100031689925665"/>
    <n v="10004353"/>
    <s v="success"/>
    <n v="61"/>
    <n v="10004352"/>
    <n v="10004353"/>
    <n v="20008705"/>
    <n v="10004353"/>
    <n v="2"/>
    <n v="1"/>
    <n v="31.2502"/>
    <n v="960417840"/>
    <m/>
    <m/>
    <m/>
    <s v="222 19204"/>
    <m/>
    <m/>
    <m/>
    <m/>
    <m/>
    <m/>
    <n v="1893594445"/>
    <n v="0"/>
    <n v="19127990"/>
    <n v="1893594445"/>
    <n v="1912722435"/>
    <n v="63119814"/>
    <n v="0"/>
    <n v="637599"/>
    <n v="63119814"/>
    <n v="63757414"/>
    <n v="39.648000000000003"/>
    <n v="16.4908"/>
    <n v="6284.77"/>
    <m/>
    <n v="2064"/>
    <n v="514"/>
    <x v="0"/>
    <n v="0"/>
  </r>
  <r>
    <s v="istree_exp8_full_comparison/step10025.txt"/>
    <x v="4"/>
    <m/>
    <s v="reclaimer_debra"/>
    <s v="allocator_new"/>
    <s v="pool_none"/>
    <n v="30000"/>
    <n v="0.5"/>
    <n v="0.5"/>
    <n v="0"/>
    <n v="1"/>
    <n v="20000000"/>
    <n v="190"/>
    <x v="4"/>
    <n v="190"/>
    <n v="0"/>
    <s v="insertIfAbsent"/>
    <n v="100023810161253"/>
    <n v="10001349"/>
    <n v="100023810161253"/>
    <n v="10001349"/>
    <s v="success"/>
    <n v="57"/>
    <n v="10001348"/>
    <n v="10001349"/>
    <n v="20002697"/>
    <n v="10001349"/>
    <n v="2"/>
    <n v="1"/>
    <n v="30.8657"/>
    <n v="960129456"/>
    <m/>
    <m/>
    <m/>
    <s v="156 14746"/>
    <m/>
    <m/>
    <m/>
    <m/>
    <m/>
    <m/>
    <n v="2515279415"/>
    <n v="0"/>
    <n v="25406895"/>
    <n v="2515279415"/>
    <n v="2540686310"/>
    <n v="83842647"/>
    <n v="0"/>
    <n v="846896"/>
    <n v="83842647"/>
    <n v="84689543"/>
    <n v="39.721499999999999"/>
    <n v="16.670400000000001"/>
    <n v="6238.35"/>
    <m/>
    <n v="2097"/>
    <n v="500"/>
    <x v="0"/>
    <n v="0"/>
  </r>
  <r>
    <s v="istree_exp8_full_comparison/step10026.txt"/>
    <x v="5"/>
    <m/>
    <s v="reclaimer_debra"/>
    <s v="allocator_new"/>
    <s v="pool_none"/>
    <n v="30000"/>
    <n v="0.5"/>
    <n v="0.5"/>
    <n v="0"/>
    <n v="1"/>
    <n v="20000000"/>
    <n v="24"/>
    <x v="0"/>
    <n v="24"/>
    <n v="0"/>
    <s v="insertIfAbsent"/>
    <n v="99970159245082"/>
    <n v="9997483"/>
    <n v="99970159245082"/>
    <n v="9997483"/>
    <s v="success"/>
    <n v="58"/>
    <n v="6651339"/>
    <n v="3346144"/>
    <n v="9997483"/>
    <n v="9997483"/>
    <n v="1.50308"/>
    <n v="2.9877600000000002"/>
    <n v="28.936800000000002"/>
    <n v="1919516736"/>
    <m/>
    <m/>
    <m/>
    <s v="4944 131814"/>
    <m/>
    <m/>
    <m/>
    <m/>
    <m/>
    <m/>
    <n v="333930206"/>
    <n v="0"/>
    <n v="3376832"/>
    <n v="333930206"/>
    <n v="337307038"/>
    <n v="11131006"/>
    <n v="0"/>
    <n v="112561"/>
    <n v="11131006"/>
    <n v="11243567"/>
    <n v="26.148199999999999"/>
    <n v="8.7513400000000008"/>
    <n v="5954.91"/>
    <m/>
    <n v="2969"/>
    <n v="1654"/>
    <x v="0"/>
    <n v="0"/>
  </r>
  <r>
    <s v="istree_exp8_full_comparison/step10027.txt"/>
    <x v="5"/>
    <m/>
    <s v="reclaimer_debra"/>
    <s v="allocator_new"/>
    <s v="pool_none"/>
    <n v="30000"/>
    <n v="0.5"/>
    <n v="0.5"/>
    <n v="0"/>
    <n v="1"/>
    <n v="20000000"/>
    <n v="48"/>
    <x v="1"/>
    <n v="48"/>
    <n v="0"/>
    <s v="insertIfAbsent"/>
    <n v="99983501972201"/>
    <n v="9998489"/>
    <n v="99983501972201"/>
    <n v="9998489"/>
    <s v="success"/>
    <n v="60"/>
    <n v="6637383"/>
    <n v="3361106"/>
    <n v="9998489"/>
    <n v="9998489"/>
    <n v="1.5063899999999999"/>
    <n v="2.9747599999999998"/>
    <n v="28.8979"/>
    <n v="1919709888"/>
    <m/>
    <m/>
    <m/>
    <s v="1212 61266"/>
    <m/>
    <m/>
    <m/>
    <m/>
    <m/>
    <m/>
    <n v="644625530"/>
    <n v="0"/>
    <n v="6511428"/>
    <n v="644625530"/>
    <n v="651136958"/>
    <n v="21487517"/>
    <n v="0"/>
    <n v="217047"/>
    <n v="21487517"/>
    <n v="21704565"/>
    <n v="26.251100000000001"/>
    <n v="8.6016700000000004"/>
    <n v="6168.6"/>
    <m/>
    <n v="2979"/>
    <n v="1183"/>
    <x v="0"/>
    <n v="0"/>
  </r>
  <r>
    <s v="istree_exp8_full_comparison/step10028.txt"/>
    <x v="5"/>
    <m/>
    <s v="reclaimer_debra"/>
    <s v="allocator_new"/>
    <s v="pool_none"/>
    <n v="30000"/>
    <n v="0.5"/>
    <n v="0.5"/>
    <n v="0"/>
    <n v="1"/>
    <n v="20000000"/>
    <n v="96"/>
    <x v="2"/>
    <n v="96"/>
    <n v="0"/>
    <s v="insertIfAbsent"/>
    <n v="99961019237188"/>
    <n v="9998477"/>
    <n v="99961019237188"/>
    <n v="9998477"/>
    <s v="success"/>
    <n v="58"/>
    <n v="6611912"/>
    <n v="3386565"/>
    <n v="9998477"/>
    <n v="9998477"/>
    <n v="1.5121899999999999"/>
    <n v="2.9523899999999998"/>
    <n v="29.857399999999998"/>
    <n v="1919707584"/>
    <m/>
    <m/>
    <m/>
    <s v="302 32642"/>
    <m/>
    <m/>
    <m/>
    <m/>
    <m/>
    <m/>
    <n v="1407646030"/>
    <n v="0"/>
    <n v="14220114"/>
    <n v="1407646030"/>
    <n v="1421866144"/>
    <n v="46921534"/>
    <n v="0"/>
    <n v="474003"/>
    <n v="46921534"/>
    <n v="47395538"/>
    <n v="27.624600000000001"/>
    <n v="9.8985500000000002"/>
    <n v="5642.64"/>
    <m/>
    <n v="2997"/>
    <n v="859"/>
    <x v="0"/>
    <n v="0"/>
  </r>
  <r>
    <s v="istree_exp8_full_comparison/step10029.txt"/>
    <x v="5"/>
    <m/>
    <s v="reclaimer_debra"/>
    <s v="allocator_new"/>
    <s v="pool_none"/>
    <n v="30000"/>
    <n v="0.5"/>
    <n v="0.5"/>
    <n v="0"/>
    <n v="1"/>
    <n v="20000000"/>
    <n v="144"/>
    <x v="3"/>
    <n v="144"/>
    <n v="0"/>
    <s v="insertIfAbsent"/>
    <n v="100054964497806"/>
    <n v="10002784"/>
    <n v="100054964497806"/>
    <n v="10002784"/>
    <s v="success"/>
    <n v="58"/>
    <n v="6595079"/>
    <n v="3407705"/>
    <n v="10002784"/>
    <n v="10002784"/>
    <n v="1.5166999999999999"/>
    <n v="2.9353400000000001"/>
    <n v="28.739100000000001"/>
    <n v="1920534528"/>
    <m/>
    <m/>
    <m/>
    <s v="218 21580"/>
    <m/>
    <m/>
    <m/>
    <m/>
    <m/>
    <m/>
    <n v="2126082507"/>
    <n v="0"/>
    <n v="21473054"/>
    <n v="2126082507"/>
    <n v="2147555561"/>
    <n v="70869416"/>
    <n v="0"/>
    <n v="715768"/>
    <n v="70869416"/>
    <n v="71585185"/>
    <n v="28.382200000000001"/>
    <n v="10.082000000000001"/>
    <n v="5602"/>
    <m/>
    <n v="3017"/>
    <n v="569"/>
    <x v="0"/>
    <n v="0"/>
  </r>
  <r>
    <s v="istree_exp8_full_comparison/step10030.txt"/>
    <x v="5"/>
    <m/>
    <s v="reclaimer_debra"/>
    <s v="allocator_new"/>
    <s v="pool_none"/>
    <n v="30000"/>
    <n v="0.5"/>
    <n v="0.5"/>
    <n v="0"/>
    <n v="1"/>
    <n v="20000000"/>
    <n v="190"/>
    <x v="4"/>
    <n v="190"/>
    <n v="0"/>
    <s v="insertIfAbsent"/>
    <n v="99977389333734"/>
    <n v="9998473"/>
    <n v="99977389333734"/>
    <n v="9998473"/>
    <s v="success"/>
    <n v="58"/>
    <n v="6578669"/>
    <n v="3419804"/>
    <n v="9998473"/>
    <n v="9998473"/>
    <n v="1.51983"/>
    <n v="2.9237000000000002"/>
    <n v="29.21"/>
    <n v="1919706816"/>
    <m/>
    <m/>
    <m/>
    <s v="152 16404"/>
    <m/>
    <m/>
    <m/>
    <m/>
    <m/>
    <m/>
    <n v="2806692482"/>
    <n v="0"/>
    <n v="28353099"/>
    <n v="2806692482"/>
    <n v="2835045581"/>
    <n v="93556416"/>
    <n v="0"/>
    <n v="945103"/>
    <n v="93556416"/>
    <n v="94501519"/>
    <n v="28.968699999999998"/>
    <n v="10.1595"/>
    <n v="5597.37"/>
    <m/>
    <n v="3035"/>
    <n v="578"/>
    <x v="0"/>
    <n v="0"/>
  </r>
  <r>
    <s v="istree_exp8_full_comparison/step10031.txt"/>
    <x v="6"/>
    <n v="72"/>
    <s v="reclaimer_debra"/>
    <s v="allocator_new"/>
    <s v="pool_none"/>
    <n v="30000"/>
    <n v="0.5"/>
    <n v="0.5"/>
    <n v="0"/>
    <n v="1"/>
    <n v="20000000"/>
    <n v="24"/>
    <x v="0"/>
    <n v="24"/>
    <n v="0"/>
    <s v="insertIfAbsent"/>
    <n v="99978687907722"/>
    <n v="9997333"/>
    <n v="99978687907722"/>
    <n v="9997333"/>
    <s v="success"/>
    <n v="7"/>
    <n v="1737871"/>
    <n v="11667101"/>
    <n v="13404972"/>
    <n v="9997333"/>
    <n v="7.7134400000000003"/>
    <n v="0.85688200000000003"/>
    <n v="4.0225299999999997"/>
    <n v="325703760"/>
    <s v="2 5600 160848 1487768 5041"/>
    <s v="2 5600 160848 1487767 5041"/>
    <n v="416"/>
    <n v="380390"/>
    <m/>
    <m/>
    <m/>
    <m/>
    <m/>
    <m/>
    <n v="1043685330"/>
    <n v="0"/>
    <n v="10547261"/>
    <n v="1043685330"/>
    <n v="1054232591"/>
    <n v="34789511"/>
    <n v="0"/>
    <n v="351575"/>
    <n v="34789511"/>
    <n v="35141086"/>
    <n v="16.129000000000001"/>
    <n v="5.8996399999999998"/>
    <n v="1902.5"/>
    <m/>
    <n v="2439"/>
    <n v="156"/>
    <x v="0"/>
    <s v="416"/>
  </r>
  <r>
    <s v="istree_exp8_full_comparison/step10032.txt"/>
    <x v="6"/>
    <n v="72"/>
    <s v="reclaimer_debra"/>
    <s v="allocator_new"/>
    <s v="pool_none"/>
    <n v="30000"/>
    <n v="0.5"/>
    <n v="0.5"/>
    <n v="0"/>
    <n v="1"/>
    <n v="20000000"/>
    <n v="48"/>
    <x v="1"/>
    <n v="48"/>
    <n v="0"/>
    <s v="insertIfAbsent"/>
    <n v="99976370058389"/>
    <n v="9996800"/>
    <n v="99976370058389"/>
    <n v="9996800"/>
    <s v="success"/>
    <n v="7"/>
    <n v="1905517"/>
    <n v="12032222"/>
    <n v="13937739"/>
    <n v="9996800"/>
    <n v="7.3144099999999996"/>
    <n v="0.83083600000000002"/>
    <n v="4.0557800000000004"/>
    <n v="344999392"/>
    <s v="3 9328 219404 2609119 8033"/>
    <s v="3 9328 219402 2609116 8033"/>
    <n v="1648"/>
    <n v="160604"/>
    <m/>
    <m/>
    <m/>
    <m/>
    <m/>
    <m/>
    <n v="1808498029"/>
    <n v="0"/>
    <n v="18268387"/>
    <n v="1808498029"/>
    <n v="1826766416"/>
    <n v="60283267"/>
    <n v="0"/>
    <n v="608946"/>
    <n v="60283267"/>
    <n v="60892213"/>
    <n v="16.069500000000001"/>
    <n v="5.9847900000000003"/>
    <n v="2190.2600000000002"/>
    <m/>
    <n v="2475"/>
    <n v="171"/>
    <x v="0"/>
    <s v="1648"/>
  </r>
  <r>
    <s v="istree_exp8_full_comparison/step10033.txt"/>
    <x v="6"/>
    <n v="72"/>
    <s v="reclaimer_debra"/>
    <s v="allocator_new"/>
    <s v="pool_none"/>
    <n v="30000"/>
    <n v="0.5"/>
    <n v="0.5"/>
    <n v="0"/>
    <n v="1"/>
    <n v="20000000"/>
    <n v="96"/>
    <x v="2"/>
    <n v="96"/>
    <n v="0"/>
    <s v="insertIfAbsent"/>
    <n v="99997240861015"/>
    <n v="10000942"/>
    <n v="99997240861015"/>
    <n v="10000942"/>
    <s v="success"/>
    <n v="7"/>
    <n v="1862213"/>
    <n v="11949608"/>
    <n v="13811821"/>
    <n v="10000942"/>
    <n v="7.4168900000000004"/>
    <n v="0.83692599999999995"/>
    <n v="4.0464700000000002"/>
    <n v="340211504"/>
    <s v="9 22565 354587 5355417 15743"/>
    <s v="7 22565 354578 5355407 15743"/>
    <n v="8092"/>
    <n v="83530"/>
    <m/>
    <m/>
    <m/>
    <m/>
    <m/>
    <m/>
    <n v="3835149846"/>
    <n v="0"/>
    <n v="38739224"/>
    <n v="3835149846"/>
    <n v="3873889070"/>
    <n v="127838328"/>
    <n v="0"/>
    <n v="1291307"/>
    <n v="127838328"/>
    <n v="129129635"/>
    <n v="16.2378"/>
    <n v="6.4216600000000001"/>
    <n v="2044.99"/>
    <m/>
    <n v="2545"/>
    <n v="245"/>
    <x v="0"/>
    <s v="8092"/>
  </r>
  <r>
    <s v="istree_exp8_full_comparison/step10034.txt"/>
    <x v="6"/>
    <n v="72"/>
    <s v="reclaimer_debra"/>
    <s v="allocator_new"/>
    <s v="pool_none"/>
    <n v="30000"/>
    <n v="0.5"/>
    <n v="0.5"/>
    <n v="0"/>
    <n v="1"/>
    <n v="20000000"/>
    <n v="144"/>
    <x v="3"/>
    <n v="144"/>
    <n v="0"/>
    <s v="insertIfAbsent"/>
    <n v="100007642159732"/>
    <n v="10001764"/>
    <n v="100007642159732"/>
    <n v="10001764"/>
    <s v="success"/>
    <n v="7"/>
    <n v="1890394"/>
    <n v="11995882"/>
    <n v="13886276"/>
    <n v="10001764"/>
    <n v="7.3456999999999999"/>
    <n v="0.83376600000000001"/>
    <n v="4.0530499999999998"/>
    <n v="343186672"/>
    <s v="12 34795 292879 7627620 18912"/>
    <s v="11 34793 292871 7627609 18912"/>
    <n v="19819"/>
    <n v="56038"/>
    <m/>
    <m/>
    <m/>
    <m/>
    <m/>
    <m/>
    <n v="5662125490"/>
    <n v="0"/>
    <n v="57188045"/>
    <n v="5662125490"/>
    <n v="5719313535"/>
    <n v="188737516"/>
    <n v="0"/>
    <n v="1906268"/>
    <n v="188737516"/>
    <n v="190643784"/>
    <n v="16.261900000000001"/>
    <n v="6.5670700000000002"/>
    <n v="2077.81"/>
    <m/>
    <n v="2679"/>
    <n v="466"/>
    <x v="0"/>
    <s v="19819"/>
  </r>
  <r>
    <s v="istree_exp8_full_comparison/step10035.txt"/>
    <x v="6"/>
    <n v="72"/>
    <s v="reclaimer_debra"/>
    <s v="allocator_new"/>
    <s v="pool_none"/>
    <n v="30000"/>
    <n v="0.5"/>
    <n v="0.5"/>
    <n v="0"/>
    <n v="1"/>
    <n v="20000000"/>
    <n v="190"/>
    <x v="4"/>
    <n v="190"/>
    <n v="0"/>
    <s v="insertIfAbsent"/>
    <n v="99963320361109"/>
    <n v="9997584"/>
    <n v="99963320361109"/>
    <n v="9997584"/>
    <s v="success"/>
    <n v="7"/>
    <n v="1625323"/>
    <n v="11439557"/>
    <n v="13064880"/>
    <n v="9997584"/>
    <n v="8.0383300000000002"/>
    <n v="0.87394899999999998"/>
    <n v="4.0000099999999996"/>
    <n v="313058736"/>
    <s v="15 47445 400458 10037339 24894"/>
    <s v="15 47444 400417 10037314 24894"/>
    <n v="36499"/>
    <n v="46882"/>
    <m/>
    <m/>
    <m/>
    <m/>
    <m/>
    <m/>
    <n v="7423780614"/>
    <n v="0"/>
    <n v="74984566"/>
    <n v="7423780614"/>
    <n v="7498765180"/>
    <n v="247459353"/>
    <n v="0"/>
    <n v="2499485"/>
    <n v="247459353"/>
    <n v="249958839"/>
    <n v="16.331299999999999"/>
    <n v="6.6574099999999996"/>
    <n v="2087.25"/>
    <m/>
    <n v="2771"/>
    <n v="383"/>
    <x v="0"/>
    <s v="36499"/>
  </r>
  <r>
    <s v="istree_exp8_full_comparison/step10036.txt"/>
    <x v="7"/>
    <n v="208"/>
    <s v="reclaimer_debra"/>
    <s v="allocator_new"/>
    <s v="pool_none"/>
    <n v="30000"/>
    <n v="0.5"/>
    <n v="0.5"/>
    <n v="0"/>
    <n v="1"/>
    <n v="20000000"/>
    <n v="24"/>
    <x v="0"/>
    <n v="24"/>
    <n v="0"/>
    <s v="insertIfAbsent"/>
    <n v="99974918711887"/>
    <n v="9998784"/>
    <n v="99974918711887"/>
    <n v="9998784"/>
    <s v="success"/>
    <n v="9"/>
    <n v="207513"/>
    <n v="1429091"/>
    <n v="1636604"/>
    <n v="9998784"/>
    <n v="7.8867500000000001"/>
    <n v="6.9965999999999999"/>
    <n v="8"/>
    <n v="340413632"/>
    <m/>
    <m/>
    <m/>
    <s v="5362 345474"/>
    <m/>
    <m/>
    <m/>
    <m/>
    <m/>
    <m/>
    <n v="908787362"/>
    <n v="0"/>
    <n v="9175463"/>
    <n v="908787362"/>
    <n v="917962825"/>
    <n v="30292912"/>
    <n v="0"/>
    <n v="305848"/>
    <n v="30292912"/>
    <n v="30598760"/>
    <n v="16.643599999999999"/>
    <n v="4.9991000000000003"/>
    <n v="2187.6"/>
    <m/>
    <n v="1440"/>
    <n v="838"/>
    <x v="0"/>
    <n v="0"/>
  </r>
  <r>
    <s v="istree_exp8_full_comparison/step10037.txt"/>
    <x v="7"/>
    <n v="208"/>
    <s v="reclaimer_debra"/>
    <s v="allocator_new"/>
    <s v="pool_none"/>
    <n v="30000"/>
    <n v="0.5"/>
    <n v="0.5"/>
    <n v="0"/>
    <n v="1"/>
    <n v="20000000"/>
    <n v="48"/>
    <x v="1"/>
    <n v="48"/>
    <n v="0"/>
    <s v="insertIfAbsent"/>
    <n v="99995925766972"/>
    <n v="9998280"/>
    <n v="99995925766972"/>
    <n v="9998280"/>
    <s v="success"/>
    <n v="9"/>
    <n v="217852"/>
    <n v="1496940"/>
    <n v="1714792"/>
    <n v="9998280"/>
    <n v="7.8713600000000001"/>
    <n v="6.6791499999999999"/>
    <n v="8"/>
    <n v="356676736"/>
    <m/>
    <m/>
    <m/>
    <s v="1398 151216"/>
    <m/>
    <m/>
    <m/>
    <m/>
    <m/>
    <m/>
    <n v="1634715664"/>
    <n v="0"/>
    <n v="16511772"/>
    <n v="1634715664"/>
    <n v="1651227436"/>
    <n v="54490522"/>
    <n v="0"/>
    <n v="550392"/>
    <n v="54490522"/>
    <n v="55040914"/>
    <n v="16.8033"/>
    <n v="5.0492299999999997"/>
    <n v="2431.34"/>
    <m/>
    <n v="1509"/>
    <n v="745"/>
    <x v="0"/>
    <n v="0"/>
  </r>
  <r>
    <s v="istree_exp8_full_comparison/step10038.txt"/>
    <x v="7"/>
    <n v="208"/>
    <s v="reclaimer_debra"/>
    <s v="allocator_new"/>
    <s v="pool_none"/>
    <n v="30000"/>
    <n v="0.5"/>
    <n v="0.5"/>
    <n v="0"/>
    <n v="1"/>
    <n v="20000000"/>
    <n v="96"/>
    <x v="2"/>
    <n v="96"/>
    <n v="0"/>
    <s v="insertIfAbsent"/>
    <n v="99980341151393"/>
    <n v="9997580"/>
    <n v="99980341151393"/>
    <n v="9997580"/>
    <s v="success"/>
    <n v="9"/>
    <n v="234389"/>
    <n v="1610548"/>
    <n v="1844937"/>
    <n v="9997580"/>
    <n v="7.8712600000000004"/>
    <n v="6.20756"/>
    <n v="8"/>
    <n v="383746896"/>
    <m/>
    <m/>
    <m/>
    <s v="764 79518"/>
    <m/>
    <m/>
    <m/>
    <m/>
    <m/>
    <m/>
    <n v="3472348485"/>
    <n v="0"/>
    <n v="35065339"/>
    <n v="3472348485"/>
    <n v="3507413824"/>
    <n v="115744949"/>
    <n v="0"/>
    <n v="1168844"/>
    <n v="115744949"/>
    <n v="116913794"/>
    <n v="17.0395"/>
    <n v="5.57613"/>
    <n v="2278.0300000000002"/>
    <m/>
    <n v="1611"/>
    <n v="924"/>
    <x v="0"/>
    <n v="0"/>
  </r>
  <r>
    <s v="istree_exp8_full_comparison/step10039.txt"/>
    <x v="7"/>
    <n v="208"/>
    <s v="reclaimer_debra"/>
    <s v="allocator_new"/>
    <s v="pool_none"/>
    <n v="30000"/>
    <n v="0.5"/>
    <n v="0.5"/>
    <n v="0"/>
    <n v="1"/>
    <n v="20000000"/>
    <n v="144"/>
    <x v="3"/>
    <n v="144"/>
    <n v="0"/>
    <s v="insertIfAbsent"/>
    <n v="100034719081662"/>
    <n v="10002273"/>
    <n v="100034719081662"/>
    <n v="10002273"/>
    <s v="success"/>
    <n v="9"/>
    <n v="244188"/>
    <n v="1679239"/>
    <n v="1923427"/>
    <n v="10002273"/>
    <n v="7.87683"/>
    <n v="5.9564300000000001"/>
    <n v="8"/>
    <n v="400072816"/>
    <m/>
    <m/>
    <m/>
    <s v="674 52070"/>
    <m/>
    <m/>
    <m/>
    <m/>
    <m/>
    <m/>
    <n v="5116012805"/>
    <n v="0"/>
    <n v="51685161"/>
    <n v="5116012805"/>
    <n v="5167697966"/>
    <n v="170533760"/>
    <n v="0"/>
    <n v="1722838"/>
    <n v="170533760"/>
    <n v="172256598"/>
    <n v="17.1965"/>
    <n v="5.7356100000000003"/>
    <n v="2315.8200000000002"/>
    <m/>
    <n v="1653"/>
    <n v="809"/>
    <x v="0"/>
    <n v="0"/>
  </r>
  <r>
    <s v="istree_exp8_full_comparison/step10040.txt"/>
    <x v="7"/>
    <n v="208"/>
    <s v="reclaimer_debra"/>
    <s v="allocator_new"/>
    <s v="pool_none"/>
    <n v="30000"/>
    <n v="0.5"/>
    <n v="0.5"/>
    <n v="0"/>
    <n v="1"/>
    <n v="20000000"/>
    <n v="190"/>
    <x v="4"/>
    <n v="190"/>
    <n v="0"/>
    <s v="insertIfAbsent"/>
    <n v="99962092156104"/>
    <n v="9996735"/>
    <n v="99962092156104"/>
    <n v="9996735"/>
    <s v="success"/>
    <n v="9"/>
    <n v="251882"/>
    <n v="1727927"/>
    <n v="1979809"/>
    <n v="9996735"/>
    <n v="7.8600700000000003"/>
    <n v="5.7853899999999996"/>
    <n v="8"/>
    <n v="411800272"/>
    <m/>
    <m/>
    <m/>
    <s v="602 41992"/>
    <m/>
    <m/>
    <m/>
    <m/>
    <m/>
    <m/>
    <n v="6724083312"/>
    <n v="0"/>
    <n v="67924065"/>
    <n v="6724083312"/>
    <n v="6792007377"/>
    <n v="224136110"/>
    <n v="0"/>
    <n v="2264135"/>
    <n v="224136110"/>
    <n v="226400245"/>
    <n v="17.4361"/>
    <n v="5.8717699999999997"/>
    <n v="2322.17"/>
    <m/>
    <n v="1746"/>
    <n v="948"/>
    <x v="0"/>
    <n v="0"/>
  </r>
  <r>
    <s v="istree_exp8_full_comparison/step10041.txt"/>
    <x v="8"/>
    <m/>
    <s v="reclaimer_debra"/>
    <s v="allocator_new"/>
    <s v="pool_none"/>
    <n v="30000"/>
    <n v="0.5"/>
    <n v="0.5"/>
    <n v="0"/>
    <n v="1"/>
    <n v="20000000"/>
    <n v="24"/>
    <x v="0"/>
    <n v="24"/>
    <n v="0"/>
    <s v="insertIfAbsent"/>
    <n v="100002031311139"/>
    <n v="10000512"/>
    <n v="100002031311139"/>
    <n v="10000512"/>
    <s v="success"/>
    <n v="29"/>
    <n v="5934139"/>
    <n v="4466737"/>
    <n v="10400876"/>
    <n v="10000512"/>
    <n v="1.7527200000000001"/>
    <n v="2.23889"/>
    <n v="22.7989"/>
    <n v="582449056"/>
    <m/>
    <m/>
    <m/>
    <s v="4882 160518"/>
    <m/>
    <m/>
    <m/>
    <m/>
    <m/>
    <m/>
    <n v="413930263"/>
    <n v="0"/>
    <n v="4181428"/>
    <n v="413930263"/>
    <n v="418111691"/>
    <n v="13797675"/>
    <n v="0"/>
    <n v="139380"/>
    <n v="13797675"/>
    <n v="13937056"/>
    <n v="27.451899999999998"/>
    <n v="9.3230299999999993"/>
    <n v="4803.63"/>
    <m/>
    <n v="1742"/>
    <n v="1509"/>
    <x v="0"/>
    <n v="0"/>
  </r>
  <r>
    <s v="istree_exp8_full_comparison/step10042.txt"/>
    <x v="8"/>
    <m/>
    <s v="reclaimer_debra"/>
    <s v="allocator_new"/>
    <s v="pool_none"/>
    <n v="30000"/>
    <n v="0.5"/>
    <n v="0.5"/>
    <n v="0"/>
    <n v="1"/>
    <n v="20000000"/>
    <n v="48"/>
    <x v="1"/>
    <n v="48"/>
    <n v="0"/>
    <s v="insertIfAbsent"/>
    <n v="100010786365901"/>
    <n v="10001179"/>
    <n v="100010786365901"/>
    <n v="10001179"/>
    <s v="success"/>
    <n v="29"/>
    <n v="6089262"/>
    <n v="4591156"/>
    <n v="10680418"/>
    <n v="10001179"/>
    <n v="1.7539800000000001"/>
    <n v="2.1783600000000001"/>
    <n v="22.856999999999999"/>
    <n v="598103408"/>
    <m/>
    <m/>
    <m/>
    <s v="1216 72586"/>
    <m/>
    <m/>
    <m/>
    <m/>
    <m/>
    <m/>
    <n v="773926152"/>
    <n v="0"/>
    <n v="7820524"/>
    <n v="773926152"/>
    <n v="781746676"/>
    <n v="25797538"/>
    <n v="0"/>
    <n v="260684"/>
    <n v="25797538"/>
    <n v="26058222"/>
    <n v="28.368200000000002"/>
    <n v="9.4314300000000006"/>
    <n v="5136.9399999999996"/>
    <m/>
    <n v="1766"/>
    <n v="1031"/>
    <x v="0"/>
    <n v="0"/>
  </r>
  <r>
    <s v="istree_exp8_full_comparison/step10043.txt"/>
    <x v="8"/>
    <m/>
    <s v="reclaimer_debra"/>
    <s v="allocator_new"/>
    <s v="pool_none"/>
    <n v="30000"/>
    <n v="0.5"/>
    <n v="0.5"/>
    <n v="0"/>
    <n v="1"/>
    <n v="20000000"/>
    <n v="96"/>
    <x v="2"/>
    <n v="96"/>
    <n v="0"/>
    <s v="insertIfAbsent"/>
    <n v="99965913317947"/>
    <n v="9996965"/>
    <n v="99965913317947"/>
    <n v="9996965"/>
    <s v="success"/>
    <n v="29"/>
    <n v="6380083"/>
    <n v="4823536"/>
    <n v="11203619"/>
    <n v="9996965"/>
    <n v="1.75603"/>
    <n v="2.07254"/>
    <n v="23.0137"/>
    <n v="627402664"/>
    <m/>
    <m/>
    <m/>
    <s v="290 39284"/>
    <m/>
    <m/>
    <m/>
    <m/>
    <m/>
    <m/>
    <n v="1713339101"/>
    <n v="0"/>
    <n v="17312398"/>
    <n v="1713339101"/>
    <n v="1730651499"/>
    <n v="57111303"/>
    <n v="0"/>
    <n v="577079"/>
    <n v="57111303"/>
    <n v="57688383"/>
    <n v="28.7102"/>
    <n v="10.665699999999999"/>
    <n v="4632.8"/>
    <m/>
    <n v="1815"/>
    <n v="765"/>
    <x v="0"/>
    <n v="0"/>
  </r>
  <r>
    <s v="istree_exp8_full_comparison/step10044.txt"/>
    <x v="8"/>
    <m/>
    <s v="reclaimer_debra"/>
    <s v="allocator_new"/>
    <s v="pool_none"/>
    <n v="30000"/>
    <n v="0.5"/>
    <n v="0.5"/>
    <n v="0"/>
    <n v="1"/>
    <n v="20000000"/>
    <n v="144"/>
    <x v="3"/>
    <n v="144"/>
    <n v="0"/>
    <s v="insertIfAbsent"/>
    <n v="99971251409630"/>
    <n v="9998062"/>
    <n v="99971251409630"/>
    <n v="9998062"/>
    <s v="success"/>
    <n v="29"/>
    <n v="6553147"/>
    <n v="4961351"/>
    <n v="11514498"/>
    <n v="9998062"/>
    <n v="1.75709"/>
    <n v="2.01519"/>
    <n v="23.1357"/>
    <n v="644811888"/>
    <m/>
    <m/>
    <m/>
    <s v="214 25788"/>
    <m/>
    <m/>
    <m/>
    <m/>
    <m/>
    <m/>
    <n v="2587868564"/>
    <n v="0"/>
    <n v="26138548"/>
    <n v="2587868564"/>
    <n v="2614007112"/>
    <n v="86262285"/>
    <n v="0"/>
    <n v="871284"/>
    <n v="86262285"/>
    <n v="87133570"/>
    <n v="28.8431"/>
    <n v="10.8551"/>
    <n v="4597.5"/>
    <m/>
    <n v="1852"/>
    <n v="459"/>
    <x v="0"/>
    <n v="0"/>
  </r>
  <r>
    <s v="istree_exp8_full_comparison/step10045.txt"/>
    <x v="8"/>
    <m/>
    <s v="reclaimer_debra"/>
    <s v="allocator_new"/>
    <s v="pool_none"/>
    <n v="30000"/>
    <n v="0.5"/>
    <n v="0.5"/>
    <n v="0"/>
    <n v="1"/>
    <n v="20000000"/>
    <n v="190"/>
    <x v="4"/>
    <n v="190"/>
    <n v="0"/>
    <s v="insertIfAbsent"/>
    <n v="100006277593484"/>
    <n v="9999469"/>
    <n v="100006277593484"/>
    <n v="9999469"/>
    <s v="success"/>
    <n v="29"/>
    <n v="6658083"/>
    <n v="5043063"/>
    <n v="11701146"/>
    <n v="9999469"/>
    <n v="1.75743"/>
    <n v="1.98282"/>
    <n v="23.188700000000001"/>
    <n v="655264176"/>
    <m/>
    <m/>
    <m/>
    <s v="146 20632"/>
    <m/>
    <m/>
    <m/>
    <m/>
    <m/>
    <m/>
    <n v="3406178159"/>
    <n v="0"/>
    <n v="34409825"/>
    <n v="3406178159"/>
    <n v="3440587984"/>
    <n v="113539271"/>
    <n v="0"/>
    <n v="1146994"/>
    <n v="113539271"/>
    <n v="114686266"/>
    <n v="28.9071"/>
    <n v="10.9572"/>
    <n v="4597.75"/>
    <m/>
    <n v="1876"/>
    <n v="488"/>
    <x v="0"/>
    <n v="0"/>
  </r>
  <r>
    <s v="istree_exp8_full_comparison/step10046.txt"/>
    <x v="9"/>
    <m/>
    <s v="reclaimer_debra"/>
    <s v="allocator_new"/>
    <s v="pool_none"/>
    <n v="30000"/>
    <n v="0.5"/>
    <n v="0.5"/>
    <n v="0"/>
    <n v="1"/>
    <n v="20000000"/>
    <n v="24"/>
    <x v="0"/>
    <n v="24"/>
    <n v="0"/>
    <s v="insertIfAbsent"/>
    <n v="99991798358862"/>
    <n v="10000006"/>
    <n v="99991798358862"/>
    <n v="10000006"/>
    <s v="success"/>
    <n v="58"/>
    <n v="10000005"/>
    <n v="10000006"/>
    <n v="20000011"/>
    <n v="10000006"/>
    <n v="2"/>
    <n v="1"/>
    <n v="31.125699999999998"/>
    <n v="640000352"/>
    <m/>
    <m/>
    <m/>
    <s v="4908 130808"/>
    <m/>
    <m/>
    <m/>
    <m/>
    <m/>
    <m/>
    <n v="332385133"/>
    <n v="0"/>
    <n v="3356720"/>
    <n v="332385133"/>
    <n v="335741853"/>
    <n v="11079504"/>
    <n v="0"/>
    <n v="111890"/>
    <n v="11079504"/>
    <n v="11191395"/>
    <n v="24.337"/>
    <n v="8.6886899999999994"/>
    <n v="5982.77"/>
    <m/>
    <n v="1717"/>
    <n v="1517"/>
    <x v="0"/>
    <n v="0"/>
  </r>
  <r>
    <s v="istree_exp8_full_comparison/step10047.txt"/>
    <x v="9"/>
    <m/>
    <s v="reclaimer_debra"/>
    <s v="allocator_new"/>
    <s v="pool_none"/>
    <n v="30000"/>
    <n v="0.5"/>
    <n v="0.5"/>
    <n v="0"/>
    <n v="1"/>
    <n v="20000000"/>
    <n v="48"/>
    <x v="1"/>
    <n v="48"/>
    <n v="0"/>
    <s v="insertIfAbsent"/>
    <n v="100031622117229"/>
    <n v="10002599"/>
    <n v="100031622117229"/>
    <n v="10002599"/>
    <s v="success"/>
    <n v="60"/>
    <n v="10002598"/>
    <n v="10002599"/>
    <n v="20005197"/>
    <n v="10002599"/>
    <n v="2"/>
    <n v="1"/>
    <n v="31.014800000000001"/>
    <n v="640166304"/>
    <m/>
    <m/>
    <m/>
    <s v="1214 60354"/>
    <m/>
    <m/>
    <m/>
    <m/>
    <m/>
    <m/>
    <n v="636899565"/>
    <n v="0"/>
    <n v="6440020"/>
    <n v="636899565"/>
    <n v="643339585"/>
    <n v="21229985"/>
    <n v="0"/>
    <n v="214667"/>
    <n v="21229985"/>
    <n v="21444652"/>
    <n v="24.3627"/>
    <n v="8.73705"/>
    <n v="6243.44"/>
    <m/>
    <n v="1724"/>
    <n v="1068"/>
    <x v="0"/>
    <n v="0"/>
  </r>
  <r>
    <s v="istree_exp8_full_comparison/step10048.txt"/>
    <x v="9"/>
    <m/>
    <s v="reclaimer_debra"/>
    <s v="allocator_new"/>
    <s v="pool_none"/>
    <n v="30000"/>
    <n v="0.5"/>
    <n v="0.5"/>
    <n v="0"/>
    <n v="1"/>
    <n v="20000000"/>
    <n v="96"/>
    <x v="2"/>
    <n v="96"/>
    <n v="0"/>
    <s v="insertIfAbsent"/>
    <n v="100002916708401"/>
    <n v="9999064"/>
    <n v="100002916708401"/>
    <n v="9999064"/>
    <s v="success"/>
    <n v="59"/>
    <n v="9999063"/>
    <n v="9999064"/>
    <n v="19998127"/>
    <n v="9999064"/>
    <n v="2"/>
    <n v="1"/>
    <n v="31.4986"/>
    <n v="639940064"/>
    <m/>
    <m/>
    <m/>
    <s v="294 33582"/>
    <m/>
    <m/>
    <m/>
    <m/>
    <m/>
    <m/>
    <n v="1453008736"/>
    <n v="0"/>
    <n v="14682197"/>
    <n v="1453008736"/>
    <n v="1467690933"/>
    <n v="48433624"/>
    <n v="0"/>
    <n v="489406"/>
    <n v="48433624"/>
    <n v="48923031"/>
    <n v="25.026499999999999"/>
    <n v="10.039400000000001"/>
    <n v="5465.45"/>
    <m/>
    <n v="1739"/>
    <n v="734"/>
    <x v="0"/>
    <n v="0"/>
  </r>
  <r>
    <s v="istree_exp8_full_comparison/step10049.txt"/>
    <x v="9"/>
    <m/>
    <s v="reclaimer_debra"/>
    <s v="allocator_new"/>
    <s v="pool_none"/>
    <n v="30000"/>
    <n v="0.5"/>
    <n v="0.5"/>
    <n v="0"/>
    <n v="1"/>
    <n v="20000000"/>
    <n v="144"/>
    <x v="3"/>
    <n v="144"/>
    <n v="0"/>
    <s v="insertIfAbsent"/>
    <n v="99997640220045"/>
    <n v="10000269"/>
    <n v="99997640220045"/>
    <n v="10000269"/>
    <s v="success"/>
    <n v="60"/>
    <n v="10000268"/>
    <n v="10000269"/>
    <n v="20000537"/>
    <n v="10000269"/>
    <n v="2"/>
    <n v="1"/>
    <n v="32.364100000000001"/>
    <n v="640017184"/>
    <m/>
    <m/>
    <m/>
    <s v="196 22256"/>
    <m/>
    <m/>
    <m/>
    <m/>
    <m/>
    <m/>
    <n v="2200025211"/>
    <n v="0"/>
    <n v="22219630"/>
    <n v="2200025211"/>
    <n v="2222244841"/>
    <n v="73334173"/>
    <n v="0"/>
    <n v="740654"/>
    <n v="73334173"/>
    <n v="74074828"/>
    <n v="25.275200000000002"/>
    <n v="10.2234"/>
    <n v="5412.49"/>
    <m/>
    <n v="1755"/>
    <n v="452"/>
    <x v="0"/>
    <n v="0"/>
  </r>
  <r>
    <s v="istree_exp8_full_comparison/step10050.txt"/>
    <x v="9"/>
    <m/>
    <s v="reclaimer_debra"/>
    <s v="allocator_new"/>
    <s v="pool_none"/>
    <n v="30000"/>
    <n v="0.5"/>
    <n v="0.5"/>
    <n v="0"/>
    <n v="1"/>
    <n v="20000000"/>
    <n v="190"/>
    <x v="4"/>
    <n v="190"/>
    <n v="0"/>
    <s v="insertIfAbsent"/>
    <n v="100001630198101"/>
    <n v="10000535"/>
    <n v="100001630198101"/>
    <n v="10000535"/>
    <s v="success"/>
    <n v="61"/>
    <n v="10000534"/>
    <n v="10000535"/>
    <n v="20001069"/>
    <n v="10000535"/>
    <n v="2"/>
    <n v="1"/>
    <n v="31.4739"/>
    <n v="640034208"/>
    <m/>
    <m/>
    <m/>
    <s v="170 17378"/>
    <m/>
    <m/>
    <m/>
    <m/>
    <m/>
    <m/>
    <n v="2926889928"/>
    <n v="0"/>
    <n v="29573888"/>
    <n v="2926889928"/>
    <n v="2956463816"/>
    <n v="97562997"/>
    <n v="0"/>
    <n v="985796"/>
    <n v="97562997"/>
    <n v="98548793"/>
    <n v="25.487400000000001"/>
    <n v="10.347"/>
    <n v="5365.62"/>
    <m/>
    <n v="1771"/>
    <n v="464"/>
    <x v="0"/>
    <n v="0"/>
  </r>
  <r>
    <s v="istree_exp8_full_comparison/step10051.txt"/>
    <x v="0"/>
    <m/>
    <s v="reclaimer_debra"/>
    <s v="allocator_new"/>
    <s v="pool_none"/>
    <n v="30000"/>
    <n v="20"/>
    <n v="20"/>
    <n v="0"/>
    <n v="1"/>
    <n v="20000000"/>
    <n v="24"/>
    <x v="0"/>
    <n v="24"/>
    <n v="0"/>
    <s v="insertIfAbsent"/>
    <n v="100029681703490"/>
    <n v="10001924"/>
    <n v="100029681703490"/>
    <n v="10001924"/>
    <s v="success"/>
    <n v="61"/>
    <n v="10001925"/>
    <n v="10001926"/>
    <n v="20003851"/>
    <n v="10001924"/>
    <n v="2"/>
    <n v="1"/>
    <n v="32.968000000000004"/>
    <n v="800154040"/>
    <m/>
    <m/>
    <m/>
    <s v="4912 109682"/>
    <m/>
    <m/>
    <m/>
    <m/>
    <m/>
    <m/>
    <n v="167068158"/>
    <n v="0"/>
    <n v="111372212"/>
    <n v="167068158"/>
    <n v="278440370"/>
    <n v="5568938"/>
    <n v="0"/>
    <n v="3712407"/>
    <n v="5568938"/>
    <n v="9281345"/>
    <n v="40.107199999999999"/>
    <n v="14.9427"/>
    <n v="7212.48"/>
    <m/>
    <n v="2087"/>
    <n v="1949"/>
    <x v="1"/>
    <n v="0"/>
  </r>
  <r>
    <s v="istree_exp8_full_comparison/step10052.txt"/>
    <x v="0"/>
    <m/>
    <s v="reclaimer_debra"/>
    <s v="allocator_new"/>
    <s v="pool_none"/>
    <n v="30000"/>
    <n v="20"/>
    <n v="20"/>
    <n v="0"/>
    <n v="1"/>
    <n v="20000000"/>
    <n v="48"/>
    <x v="1"/>
    <n v="48"/>
    <n v="0"/>
    <s v="insertIfAbsent"/>
    <n v="100014242012055"/>
    <n v="9999002"/>
    <n v="100014242012055"/>
    <n v="9999002"/>
    <s v="success"/>
    <n v="59"/>
    <n v="9999003"/>
    <n v="9999004"/>
    <n v="19998007"/>
    <n v="9999002"/>
    <n v="2"/>
    <n v="1"/>
    <n v="32.368699999999997"/>
    <n v="799920280"/>
    <m/>
    <m/>
    <m/>
    <s v="1240 49842"/>
    <m/>
    <m/>
    <m/>
    <m/>
    <m/>
    <m/>
    <n v="315030067"/>
    <n v="0"/>
    <n v="209992717"/>
    <n v="315030067"/>
    <n v="525022784"/>
    <n v="10501002"/>
    <n v="0"/>
    <n v="6999757"/>
    <n v="10501002"/>
    <n v="17500759"/>
    <n v="41.967599999999997"/>
    <n v="15.1744"/>
    <n v="7644.56"/>
    <m/>
    <n v="2451"/>
    <n v="1513"/>
    <x v="1"/>
    <n v="0"/>
  </r>
  <r>
    <s v="istree_exp8_full_comparison/step10053.txt"/>
    <x v="0"/>
    <m/>
    <s v="reclaimer_debra"/>
    <s v="allocator_new"/>
    <s v="pool_none"/>
    <n v="30000"/>
    <n v="20"/>
    <n v="20"/>
    <n v="0"/>
    <n v="1"/>
    <n v="20000000"/>
    <n v="96"/>
    <x v="2"/>
    <n v="96"/>
    <n v="0"/>
    <s v="insertIfAbsent"/>
    <n v="99973608041492"/>
    <n v="9997349"/>
    <n v="99973608041492"/>
    <n v="9997349"/>
    <s v="success"/>
    <n v="58"/>
    <n v="9997350"/>
    <n v="9997351"/>
    <n v="19994701"/>
    <n v="9997349"/>
    <n v="2"/>
    <n v="1"/>
    <n v="32.612900000000003"/>
    <n v="799788040"/>
    <m/>
    <m/>
    <m/>
    <s v="428 24554"/>
    <m/>
    <m/>
    <m/>
    <m/>
    <m/>
    <m/>
    <n v="607700778"/>
    <n v="0"/>
    <n v="405105023"/>
    <n v="607700778"/>
    <n v="1012805801"/>
    <n v="20256692"/>
    <n v="0"/>
    <n v="13503500"/>
    <n v="20256692"/>
    <n v="33760193"/>
    <n v="45.355899999999998"/>
    <n v="18.079599999999999"/>
    <n v="7914.96"/>
    <m/>
    <n v="2931"/>
    <n v="1255"/>
    <x v="1"/>
    <n v="0"/>
  </r>
  <r>
    <s v="istree_exp8_full_comparison/step10054.txt"/>
    <x v="0"/>
    <m/>
    <s v="reclaimer_debra"/>
    <s v="allocator_new"/>
    <s v="pool_none"/>
    <n v="30000"/>
    <n v="20"/>
    <n v="20"/>
    <n v="0"/>
    <n v="1"/>
    <n v="20000000"/>
    <n v="144"/>
    <x v="3"/>
    <n v="144"/>
    <n v="0"/>
    <s v="insertIfAbsent"/>
    <n v="100070626331184"/>
    <n v="10004705"/>
    <n v="100070626331184"/>
    <n v="10004705"/>
    <s v="success"/>
    <n v="66"/>
    <n v="10004706"/>
    <n v="10004707"/>
    <n v="20009413"/>
    <n v="10004705"/>
    <n v="2"/>
    <n v="1"/>
    <n v="35.026400000000002"/>
    <n v="800376520"/>
    <m/>
    <m/>
    <m/>
    <s v="344 15608"/>
    <m/>
    <m/>
    <m/>
    <m/>
    <m/>
    <m/>
    <n v="813033241"/>
    <n v="0"/>
    <n v="542030477"/>
    <n v="813033241"/>
    <n v="1355063718"/>
    <n v="27101108"/>
    <n v="0"/>
    <n v="18067682"/>
    <n v="27101108"/>
    <n v="45168790"/>
    <n v="46.466799999999999"/>
    <n v="19.4602"/>
    <n v="8866.06"/>
    <m/>
    <n v="2976"/>
    <n v="890"/>
    <x v="1"/>
    <n v="0"/>
  </r>
  <r>
    <s v="istree_exp8_full_comparison/step10055.txt"/>
    <x v="0"/>
    <m/>
    <s v="reclaimer_debra"/>
    <s v="allocator_new"/>
    <s v="pool_none"/>
    <n v="30000"/>
    <n v="20"/>
    <n v="20"/>
    <n v="0"/>
    <n v="1"/>
    <n v="20000000"/>
    <n v="190"/>
    <x v="4"/>
    <n v="190"/>
    <n v="0"/>
    <s v="insertIfAbsent"/>
    <n v="100000856946547"/>
    <n v="10001224"/>
    <n v="100000856946547"/>
    <n v="10001224"/>
    <s v="success"/>
    <n v="57"/>
    <n v="10001225"/>
    <n v="10001226"/>
    <n v="20002451"/>
    <n v="10001224"/>
    <n v="2"/>
    <n v="1"/>
    <n v="32.235799999999998"/>
    <n v="800098040"/>
    <m/>
    <m/>
    <m/>
    <s v="300 12004"/>
    <m/>
    <m/>
    <m/>
    <m/>
    <m/>
    <m/>
    <n v="963538236"/>
    <n v="0"/>
    <n v="642335867"/>
    <n v="963538236"/>
    <n v="1605874103"/>
    <n v="32117941"/>
    <n v="0"/>
    <n v="21411195"/>
    <n v="32117941"/>
    <n v="53529136"/>
    <n v="46.8247"/>
    <n v="20.191600000000001"/>
    <n v="9775.2199999999993"/>
    <m/>
    <n v="2969"/>
    <n v="961"/>
    <x v="1"/>
    <n v="0"/>
  </r>
  <r>
    <s v="istree_exp8_full_comparison/step10056.txt"/>
    <x v="1"/>
    <m/>
    <s v="reclaimer_debra"/>
    <s v="allocator_new"/>
    <s v="pool_none"/>
    <n v="30000"/>
    <n v="20"/>
    <n v="20"/>
    <n v="0"/>
    <n v="1"/>
    <n v="20000000"/>
    <n v="24"/>
    <x v="0"/>
    <n v="24"/>
    <n v="0"/>
    <s v="insertIfAbsent"/>
    <n v="99954093268189"/>
    <n v="9998076"/>
    <n v="99954093268189"/>
    <n v="9998076"/>
    <s v="success"/>
    <n v="58"/>
    <n v="9998076"/>
    <n v="9998077"/>
    <n v="19996153"/>
    <n v="9998076"/>
    <n v="2"/>
    <n v="1"/>
    <n v="30.6816"/>
    <n v="799846120"/>
    <m/>
    <m/>
    <m/>
    <s v="4866 110198"/>
    <m/>
    <m/>
    <m/>
    <m/>
    <m/>
    <m/>
    <n v="168019924"/>
    <n v="0"/>
    <n v="112033256"/>
    <n v="168019924"/>
    <n v="280053180"/>
    <n v="5600664"/>
    <n v="0"/>
    <n v="3734441"/>
    <n v="5600664"/>
    <n v="9335106"/>
    <n v="42.692"/>
    <n v="16.086400000000001"/>
    <n v="7171.27"/>
    <m/>
    <n v="2066"/>
    <n v="1754"/>
    <x v="1"/>
    <n v="0"/>
  </r>
  <r>
    <s v="istree_exp8_full_comparison/step10057.txt"/>
    <x v="1"/>
    <m/>
    <s v="reclaimer_debra"/>
    <s v="allocator_new"/>
    <s v="pool_none"/>
    <n v="30000"/>
    <n v="20"/>
    <n v="20"/>
    <n v="0"/>
    <n v="1"/>
    <n v="20000000"/>
    <n v="48"/>
    <x v="1"/>
    <n v="48"/>
    <n v="0"/>
    <s v="insertIfAbsent"/>
    <n v="100041798241247"/>
    <n v="10005023"/>
    <n v="100041798241247"/>
    <n v="10005023"/>
    <s v="success"/>
    <n v="63"/>
    <n v="10005023"/>
    <n v="10005024"/>
    <n v="20010047"/>
    <n v="10005023"/>
    <n v="2"/>
    <n v="1"/>
    <n v="32.959699999999998"/>
    <n v="800401880"/>
    <m/>
    <m/>
    <m/>
    <s v="1198 50590"/>
    <m/>
    <m/>
    <m/>
    <m/>
    <m/>
    <m/>
    <n v="321733380"/>
    <n v="0"/>
    <n v="214506260"/>
    <n v="321733380"/>
    <n v="536239640"/>
    <n v="10724446"/>
    <n v="0"/>
    <n v="7150208"/>
    <n v="10724446"/>
    <n v="17874654"/>
    <n v="43.385800000000003"/>
    <n v="16.0307"/>
    <n v="7487.54"/>
    <m/>
    <n v="2153"/>
    <n v="1230"/>
    <x v="1"/>
    <n v="0"/>
  </r>
  <r>
    <s v="istree_exp8_full_comparison/step10058.txt"/>
    <x v="1"/>
    <m/>
    <s v="reclaimer_debra"/>
    <s v="allocator_new"/>
    <s v="pool_none"/>
    <n v="30000"/>
    <n v="20"/>
    <n v="20"/>
    <n v="0"/>
    <n v="1"/>
    <n v="20000000"/>
    <n v="96"/>
    <x v="2"/>
    <n v="96"/>
    <n v="0"/>
    <s v="insertIfAbsent"/>
    <n v="99977766073922"/>
    <n v="9999662"/>
    <n v="99977766073922"/>
    <n v="9999662"/>
    <s v="success"/>
    <n v="56"/>
    <n v="9999662"/>
    <n v="9999663"/>
    <n v="19999325"/>
    <n v="9999662"/>
    <n v="2"/>
    <n v="1"/>
    <n v="31.064699999999998"/>
    <n v="799973000"/>
    <m/>
    <m/>
    <m/>
    <s v="290 26404"/>
    <m/>
    <m/>
    <m/>
    <m/>
    <m/>
    <m/>
    <n v="677433998"/>
    <n v="0"/>
    <n v="451610074"/>
    <n v="677433998"/>
    <n v="1129044072"/>
    <n v="22581133"/>
    <n v="0"/>
    <n v="15053669"/>
    <n v="22581133"/>
    <n v="37634802"/>
    <n v="44.5169"/>
    <n v="17.525099999999998"/>
    <n v="7100.52"/>
    <m/>
    <n v="2812"/>
    <n v="864"/>
    <x v="1"/>
    <n v="0"/>
  </r>
  <r>
    <s v="istree_exp8_full_comparison/step10059.txt"/>
    <x v="1"/>
    <m/>
    <s v="reclaimer_debra"/>
    <s v="allocator_new"/>
    <s v="pool_none"/>
    <n v="30000"/>
    <n v="20"/>
    <n v="20"/>
    <n v="0"/>
    <n v="1"/>
    <n v="20000000"/>
    <n v="144"/>
    <x v="3"/>
    <n v="144"/>
    <n v="0"/>
    <s v="insertIfAbsent"/>
    <n v="100004623011748"/>
    <n v="9999368"/>
    <n v="100004623011748"/>
    <n v="9999368"/>
    <s v="success"/>
    <n v="55"/>
    <n v="9999368"/>
    <n v="9999369"/>
    <n v="19998737"/>
    <n v="9999368"/>
    <n v="2"/>
    <n v="1"/>
    <n v="30.056799999999999"/>
    <n v="799949480"/>
    <m/>
    <m/>
    <m/>
    <s v="214 16668"/>
    <m/>
    <m/>
    <m/>
    <m/>
    <m/>
    <m/>
    <n v="960836124"/>
    <n v="0"/>
    <n v="640560229"/>
    <n v="960836124"/>
    <n v="1601396353"/>
    <n v="32027870"/>
    <n v="0"/>
    <n v="21352007"/>
    <n v="32027870"/>
    <n v="53379878"/>
    <n v="45.873800000000003"/>
    <n v="18.4847"/>
    <n v="7505.7"/>
    <m/>
    <n v="2935"/>
    <n v="517"/>
    <x v="1"/>
    <n v="0"/>
  </r>
  <r>
    <s v="istree_exp8_full_comparison/step10060.txt"/>
    <x v="1"/>
    <m/>
    <s v="reclaimer_debra"/>
    <s v="allocator_new"/>
    <s v="pool_none"/>
    <n v="30000"/>
    <n v="20"/>
    <n v="20"/>
    <n v="0"/>
    <n v="1"/>
    <n v="20000000"/>
    <n v="190"/>
    <x v="4"/>
    <n v="190"/>
    <n v="0"/>
    <s v="insertIfAbsent"/>
    <n v="100001089503323"/>
    <n v="9999898"/>
    <n v="100001089503323"/>
    <n v="9999898"/>
    <s v="success"/>
    <n v="55"/>
    <n v="9999898"/>
    <n v="9999899"/>
    <n v="19999797"/>
    <n v="9999898"/>
    <n v="2"/>
    <n v="1"/>
    <n v="29.7227"/>
    <n v="799991880"/>
    <m/>
    <m/>
    <m/>
    <s v="148 12516"/>
    <m/>
    <m/>
    <m/>
    <m/>
    <m/>
    <m/>
    <n v="1180444204"/>
    <n v="0"/>
    <n v="787040880"/>
    <n v="1180444204"/>
    <n v="1967485084"/>
    <n v="39348140"/>
    <n v="0"/>
    <n v="26234696"/>
    <n v="39348140"/>
    <n v="65582836"/>
    <n v="46.447800000000001"/>
    <n v="18.913399999999999"/>
    <n v="8052.91"/>
    <m/>
    <n v="2926"/>
    <n v="536"/>
    <x v="1"/>
    <n v="0"/>
  </r>
  <r>
    <s v="istree_exp8_full_comparison/step10061.txt"/>
    <x v="2"/>
    <m/>
    <s v="reclaimer_debra"/>
    <s v="allocator_new"/>
    <s v="pool_none"/>
    <n v="30000"/>
    <n v="20"/>
    <n v="20"/>
    <n v="0"/>
    <n v="1"/>
    <n v="20000000"/>
    <n v="24"/>
    <x v="0"/>
    <n v="24"/>
    <n v="0"/>
    <s v="insertIfAbsent"/>
    <n v="100014232274492"/>
    <n v="10002344"/>
    <n v="100014313964821"/>
    <n v="10002357"/>
    <s v="fail"/>
    <n v="57"/>
    <n v="6543509"/>
    <n v="3458849"/>
    <n v="10002358"/>
    <n v="10002357"/>
    <n v="1.5285899999999999"/>
    <n v="2.8918200000000001"/>
    <n v="29.770399999999999"/>
    <n v="640150912"/>
    <m/>
    <m/>
    <m/>
    <s v="10020 199124"/>
    <m/>
    <m/>
    <m/>
    <m/>
    <m/>
    <m/>
    <m/>
    <m/>
    <m/>
    <m/>
    <m/>
    <m/>
    <m/>
    <m/>
    <m/>
    <m/>
    <m/>
    <m/>
    <m/>
    <m/>
    <n v="3713"/>
    <n v="1534"/>
    <x v="1"/>
    <n v="0"/>
  </r>
  <r>
    <s v="istree_exp8_full_comparison/step10062.txt"/>
    <x v="2"/>
    <m/>
    <s v="reclaimer_debra"/>
    <s v="allocator_new"/>
    <s v="pool_none"/>
    <n v="30000"/>
    <n v="20"/>
    <n v="20"/>
    <n v="0"/>
    <n v="1"/>
    <n v="20000000"/>
    <n v="48"/>
    <x v="1"/>
    <n v="48"/>
    <n v="0"/>
    <s v="insertIfAbsent"/>
    <n v="99996519123021"/>
    <n v="9999148"/>
    <n v="99998705669846"/>
    <n v="9999523"/>
    <s v="fail"/>
    <n v="57"/>
    <n v="6540392"/>
    <n v="3459132"/>
    <n v="9999524"/>
    <n v="9999523"/>
    <n v="1.5288900000000001"/>
    <n v="2.8907600000000002"/>
    <n v="29.088200000000001"/>
    <n v="639969536"/>
    <m/>
    <m/>
    <m/>
    <s v="2428 88204"/>
    <m/>
    <m/>
    <m/>
    <m/>
    <m/>
    <m/>
    <m/>
    <m/>
    <m/>
    <m/>
    <m/>
    <m/>
    <m/>
    <m/>
    <m/>
    <m/>
    <m/>
    <m/>
    <m/>
    <m/>
    <n v="5447"/>
    <n v="1090"/>
    <x v="1"/>
    <n v="0"/>
  </r>
  <r>
    <s v="istree_exp8_full_comparison/step10063.txt"/>
    <x v="2"/>
    <m/>
    <s v="reclaimer_debra"/>
    <s v="allocator_new"/>
    <s v="pool_none"/>
    <n v="30000"/>
    <n v="20"/>
    <n v="20"/>
    <n v="0"/>
    <n v="1"/>
    <n v="20000000"/>
    <n v="96"/>
    <x v="2"/>
    <n v="96"/>
    <n v="0"/>
    <s v="insertIfAbsent"/>
    <n v="102463824587304"/>
    <n v="10182100"/>
    <n v="104939108386232"/>
    <n v="10363525"/>
    <s v="fail"/>
    <n v="86"/>
    <n v="6785417"/>
    <n v="3578109"/>
    <n v="10363526"/>
    <n v="10363525"/>
    <n v="1.52732"/>
    <n v="2.8963700000000001"/>
    <n v="30.649899999999999"/>
    <n v="663265664"/>
    <m/>
    <m/>
    <m/>
    <s v="606 45228"/>
    <m/>
    <m/>
    <m/>
    <m/>
    <m/>
    <m/>
    <m/>
    <m/>
    <m/>
    <m/>
    <m/>
    <m/>
    <m/>
    <m/>
    <m/>
    <m/>
    <m/>
    <m/>
    <m/>
    <m/>
    <n v="9886"/>
    <n v="777"/>
    <x v="1"/>
    <n v="0"/>
  </r>
  <r>
    <s v="istree_exp8_full_comparison/step10064.txt"/>
    <x v="2"/>
    <m/>
    <s v="reclaimer_debra"/>
    <s v="allocator_new"/>
    <s v="pool_none"/>
    <n v="30000"/>
    <n v="20"/>
    <n v="20"/>
    <n v="0"/>
    <n v="1"/>
    <n v="20000000"/>
    <n v="144"/>
    <x v="3"/>
    <n v="144"/>
    <n v="0"/>
    <s v="insertIfAbsent"/>
    <n v="156749947387302"/>
    <n v="13413029"/>
    <n v="152119012197660"/>
    <n v="13408113"/>
    <s v="fail"/>
    <n v="115"/>
    <n v="8782853"/>
    <n v="4625261"/>
    <n v="13408114"/>
    <n v="13408113"/>
    <n v="1.5266200000000001"/>
    <n v="2.8988900000000002"/>
    <n v="40.621600000000001"/>
    <n v="858119296"/>
    <m/>
    <m/>
    <m/>
    <s v="394 29124"/>
    <m/>
    <m/>
    <m/>
    <m/>
    <m/>
    <m/>
    <m/>
    <m/>
    <m/>
    <m/>
    <m/>
    <m/>
    <m/>
    <m/>
    <m/>
    <m/>
    <m/>
    <m/>
    <m/>
    <m/>
    <n v="13690"/>
    <n v="483"/>
    <x v="1"/>
    <n v="0"/>
  </r>
  <r>
    <s v="istree_exp8_full_comparison/step10065.txt"/>
    <x v="2"/>
    <m/>
    <s v="reclaimer_debra"/>
    <s v="allocator_new"/>
    <s v="pool_none"/>
    <n v="30000"/>
    <n v="20"/>
    <n v="20"/>
    <n v="0"/>
    <n v="1"/>
    <n v="20000000"/>
    <n v="190"/>
    <x v="4"/>
    <n v="190"/>
    <n v="0"/>
    <s v="insertIfAbsent"/>
    <n v="178240709685488"/>
    <n v="18873305"/>
    <n v="256153234129278"/>
    <n v="27723066"/>
    <s v="fail"/>
    <n v="138"/>
    <n v="18148463"/>
    <n v="9574604"/>
    <n v="27723067"/>
    <n v="27723066"/>
    <n v="1.5275700000000001"/>
    <n v="2.8954800000000001"/>
    <n v="74.173100000000005"/>
    <n v="1774276288"/>
    <m/>
    <m/>
    <m/>
    <s v="298 20786"/>
    <m/>
    <m/>
    <m/>
    <m/>
    <m/>
    <m/>
    <m/>
    <m/>
    <m/>
    <m/>
    <m/>
    <m/>
    <m/>
    <m/>
    <m/>
    <m/>
    <m/>
    <m/>
    <m/>
    <m/>
    <n v="16667"/>
    <n v="481"/>
    <x v="1"/>
    <n v="0"/>
  </r>
  <r>
    <s v="istree_exp8_full_comparison/step10066.txt"/>
    <x v="3"/>
    <m/>
    <s v="reclaimer_debra"/>
    <s v="allocator_new"/>
    <s v="pool_none"/>
    <n v="30000"/>
    <n v="20"/>
    <n v="20"/>
    <n v="0"/>
    <n v="1"/>
    <n v="20000000"/>
    <n v="24"/>
    <x v="0"/>
    <n v="24"/>
    <n v="0"/>
    <s v="insertIfAbsent"/>
    <n v="166784034622117"/>
    <n v="16680833"/>
    <n v="100018004462261"/>
    <n v="10002022"/>
    <s v="fail"/>
    <n v="60"/>
    <n v="6548256"/>
    <n v="3453769"/>
    <n v="10002025"/>
    <n v="10002022"/>
    <n v="1.5274300000000001"/>
    <n v="2.8959700000000002"/>
    <n v="32.168599999999998"/>
    <n v="400081000"/>
    <m/>
    <m/>
    <m/>
    <s v="4968 116342"/>
    <m/>
    <m/>
    <m/>
    <m/>
    <m/>
    <m/>
    <m/>
    <m/>
    <m/>
    <m/>
    <m/>
    <m/>
    <m/>
    <m/>
    <m/>
    <m/>
    <m/>
    <m/>
    <m/>
    <m/>
    <n v="3432"/>
    <n v="1412"/>
    <x v="1"/>
    <n v="0"/>
  </r>
  <r>
    <s v="istree_exp8_full_comparison/step10067.txt"/>
    <x v="3"/>
    <m/>
    <s v="reclaimer_debra"/>
    <s v="allocator_new"/>
    <s v="pool_none"/>
    <n v="30000"/>
    <n v="20"/>
    <n v="20"/>
    <n v="0"/>
    <n v="1"/>
    <n v="20000000"/>
    <n v="48"/>
    <x v="1"/>
    <n v="48"/>
    <n v="0"/>
    <s v="insertIfAbsent"/>
    <n v="248966434465626"/>
    <n v="24895086"/>
    <n v="99995889639204"/>
    <n v="9998632"/>
    <s v="fail"/>
    <n v="62"/>
    <n v="6545189"/>
    <n v="3453446"/>
    <n v="9998635"/>
    <n v="9998632"/>
    <n v="1.52763"/>
    <n v="2.8952599999999999"/>
    <n v="31.935600000000001"/>
    <n v="399945400"/>
    <m/>
    <m/>
    <m/>
    <s v="1214 52212"/>
    <m/>
    <m/>
    <m/>
    <m/>
    <m/>
    <m/>
    <m/>
    <m/>
    <m/>
    <m/>
    <m/>
    <m/>
    <m/>
    <m/>
    <m/>
    <m/>
    <m/>
    <m/>
    <m/>
    <m/>
    <n v="5077"/>
    <n v="998"/>
    <x v="1"/>
    <n v="0"/>
  </r>
  <r>
    <s v="istree_exp8_full_comparison/step10068.txt"/>
    <x v="3"/>
    <m/>
    <s v="reclaimer_debra"/>
    <s v="allocator_new"/>
    <s v="pool_none"/>
    <n v="30000"/>
    <n v="20"/>
    <n v="20"/>
    <n v="0"/>
    <n v="1"/>
    <n v="20000000"/>
    <n v="96"/>
    <x v="2"/>
    <n v="96"/>
    <n v="0"/>
    <s v="insertIfAbsent"/>
    <n v="455760379647396"/>
    <n v="45575134"/>
    <n v="100035476555817"/>
    <n v="10003428"/>
    <s v="fail"/>
    <n v="60"/>
    <n v="6546624"/>
    <n v="3456807"/>
    <n v="10003431"/>
    <n v="10003428"/>
    <n v="1.52803"/>
    <n v="2.8938299999999999"/>
    <n v="31.689800000000002"/>
    <n v="400137240"/>
    <m/>
    <m/>
    <m/>
    <s v="282 27588"/>
    <m/>
    <m/>
    <m/>
    <m/>
    <m/>
    <m/>
    <m/>
    <m/>
    <m/>
    <m/>
    <m/>
    <m/>
    <m/>
    <m/>
    <m/>
    <m/>
    <m/>
    <m/>
    <m/>
    <m/>
    <n v="9199"/>
    <n v="686"/>
    <x v="1"/>
    <n v="0"/>
  </r>
  <r>
    <s v="istree_exp8_full_comparison/step10069.txt"/>
    <x v="3"/>
    <m/>
    <s v="reclaimer_debra"/>
    <s v="allocator_new"/>
    <s v="pool_none"/>
    <n v="30000"/>
    <n v="20"/>
    <n v="20"/>
    <n v="0"/>
    <n v="1"/>
    <n v="20000000"/>
    <n v="144"/>
    <x v="3"/>
    <n v="144"/>
    <n v="0"/>
    <s v="insertIfAbsent"/>
    <n v="659311557780292"/>
    <n v="65933226"/>
    <n v="100028269270573"/>
    <n v="10003655"/>
    <s v="fail"/>
    <n v="60"/>
    <n v="6547921"/>
    <n v="3455737"/>
    <n v="10003658"/>
    <n v="10003655"/>
    <n v="1.52776"/>
    <n v="2.8948"/>
    <n v="31.276800000000001"/>
    <n v="400146320"/>
    <m/>
    <m/>
    <m/>
    <s v="192 18402"/>
    <m/>
    <m/>
    <m/>
    <m/>
    <m/>
    <m/>
    <m/>
    <m/>
    <m/>
    <m/>
    <m/>
    <m/>
    <m/>
    <m/>
    <m/>
    <m/>
    <m/>
    <m/>
    <m/>
    <m/>
    <n v="13230"/>
    <n v="428"/>
    <x v="1"/>
    <n v="0"/>
  </r>
  <r>
    <s v="istree_exp8_full_comparison/step10070.txt"/>
    <x v="3"/>
    <m/>
    <s v="reclaimer_debra"/>
    <s v="allocator_new"/>
    <s v="pool_none"/>
    <n v="30000"/>
    <n v="20"/>
    <n v="20"/>
    <n v="0"/>
    <n v="1"/>
    <n v="20000000"/>
    <n v="190"/>
    <x v="4"/>
    <n v="190"/>
    <n v="0"/>
    <s v="insertIfAbsent"/>
    <n v="854554935823577"/>
    <n v="85455940"/>
    <n v="100031423056572"/>
    <n v="10003425"/>
    <s v="fail"/>
    <n v="62"/>
    <n v="6548776"/>
    <n v="3454652"/>
    <n v="10003428"/>
    <n v="10003425"/>
    <n v="1.5275300000000001"/>
    <n v="2.8956400000000002"/>
    <n v="31.610900000000001"/>
    <n v="400137120"/>
    <m/>
    <m/>
    <m/>
    <s v="164 14294"/>
    <m/>
    <m/>
    <m/>
    <m/>
    <m/>
    <m/>
    <m/>
    <m/>
    <m/>
    <m/>
    <m/>
    <m/>
    <m/>
    <m/>
    <m/>
    <m/>
    <m/>
    <m/>
    <m/>
    <m/>
    <n v="17083"/>
    <n v="437"/>
    <x v="1"/>
    <n v="0"/>
  </r>
  <r>
    <s v="istree_exp8_full_comparison/step10071.txt"/>
    <x v="4"/>
    <m/>
    <s v="reclaimer_debra"/>
    <s v="allocator_new"/>
    <s v="pool_none"/>
    <n v="30000"/>
    <n v="20"/>
    <n v="20"/>
    <n v="0"/>
    <n v="1"/>
    <n v="20000000"/>
    <n v="24"/>
    <x v="0"/>
    <n v="24"/>
    <n v="0"/>
    <s v="insertIfAbsent"/>
    <n v="99980532536224"/>
    <n v="9997581"/>
    <n v="99980532536224"/>
    <n v="9997581"/>
    <s v="success"/>
    <n v="61"/>
    <n v="9997580"/>
    <n v="9997581"/>
    <n v="19995161"/>
    <n v="9997581"/>
    <n v="2"/>
    <n v="1"/>
    <n v="31.6373"/>
    <n v="959767728"/>
    <m/>
    <m/>
    <m/>
    <s v="4896 106548"/>
    <m/>
    <m/>
    <m/>
    <m/>
    <m/>
    <m/>
    <n v="162149001"/>
    <n v="0"/>
    <n v="108087886"/>
    <n v="162149001"/>
    <n v="270236887"/>
    <n v="5404966"/>
    <n v="0"/>
    <n v="3602929"/>
    <n v="5404966"/>
    <n v="9007896"/>
    <n v="40.289700000000003"/>
    <n v="15.313499999999999"/>
    <n v="7432.15"/>
    <m/>
    <n v="2085"/>
    <n v="1761"/>
    <x v="1"/>
    <n v="0"/>
  </r>
  <r>
    <s v="istree_exp8_full_comparison/step10072.txt"/>
    <x v="4"/>
    <m/>
    <s v="reclaimer_debra"/>
    <s v="allocator_new"/>
    <s v="pool_none"/>
    <n v="30000"/>
    <n v="20"/>
    <n v="20"/>
    <n v="0"/>
    <n v="1"/>
    <n v="20000000"/>
    <n v="48"/>
    <x v="1"/>
    <n v="48"/>
    <n v="0"/>
    <s v="insertIfAbsent"/>
    <n v="99998648252084"/>
    <n v="10001331"/>
    <n v="99998648252084"/>
    <n v="10001331"/>
    <s v="success"/>
    <n v="58"/>
    <n v="10001330"/>
    <n v="10001331"/>
    <n v="20002661"/>
    <n v="10001331"/>
    <n v="2"/>
    <n v="1"/>
    <n v="30.366099999999999"/>
    <n v="960127728"/>
    <m/>
    <m/>
    <m/>
    <s v="1214 48904"/>
    <m/>
    <m/>
    <m/>
    <m/>
    <m/>
    <m/>
    <n v="309385852"/>
    <n v="0"/>
    <n v="206267626"/>
    <n v="309385852"/>
    <n v="515653478"/>
    <n v="10312861"/>
    <n v="0"/>
    <n v="6875587"/>
    <n v="10312861"/>
    <n v="17188449"/>
    <n v="41.362299999999998"/>
    <n v="15.4618"/>
    <n v="7784.76"/>
    <m/>
    <n v="2439"/>
    <n v="1235"/>
    <x v="1"/>
    <n v="0"/>
  </r>
  <r>
    <s v="istree_exp8_full_comparison/step10073.txt"/>
    <x v="4"/>
    <m/>
    <s v="reclaimer_debra"/>
    <s v="allocator_new"/>
    <s v="pool_none"/>
    <n v="30000"/>
    <n v="20"/>
    <n v="20"/>
    <n v="0"/>
    <n v="1"/>
    <n v="20000000"/>
    <n v="96"/>
    <x v="2"/>
    <n v="96"/>
    <n v="0"/>
    <s v="insertIfAbsent"/>
    <n v="99985454437190"/>
    <n v="9998132"/>
    <n v="99985454437190"/>
    <n v="9998132"/>
    <s v="success"/>
    <n v="57"/>
    <n v="9998131"/>
    <n v="9998132"/>
    <n v="19996263"/>
    <n v="9998132"/>
    <n v="2"/>
    <n v="1"/>
    <n v="30.3599"/>
    <n v="959820624"/>
    <m/>
    <m/>
    <m/>
    <s v="306 24466"/>
    <m/>
    <m/>
    <m/>
    <m/>
    <m/>
    <m/>
    <n v="606821778"/>
    <n v="0"/>
    <n v="404551892"/>
    <n v="606821778"/>
    <n v="1011373670"/>
    <n v="20227392"/>
    <n v="0"/>
    <n v="13485063"/>
    <n v="20227392"/>
    <n v="33712455"/>
    <n v="44.3688"/>
    <n v="18.075600000000001"/>
    <n v="7928"/>
    <m/>
    <n v="2917"/>
    <n v="860"/>
    <x v="1"/>
    <n v="0"/>
  </r>
  <r>
    <s v="istree_exp8_full_comparison/step10074.txt"/>
    <x v="4"/>
    <m/>
    <s v="reclaimer_debra"/>
    <s v="allocator_new"/>
    <s v="pool_none"/>
    <n v="30000"/>
    <n v="20"/>
    <n v="20"/>
    <n v="0"/>
    <n v="1"/>
    <n v="20000000"/>
    <n v="144"/>
    <x v="3"/>
    <n v="144"/>
    <n v="0"/>
    <s v="insertIfAbsent"/>
    <n v="100010107113540"/>
    <n v="9999000"/>
    <n v="100010107113540"/>
    <n v="9999000"/>
    <s v="success"/>
    <n v="54"/>
    <n v="9998999"/>
    <n v="9999000"/>
    <n v="19997999"/>
    <n v="9999000"/>
    <n v="2"/>
    <n v="1"/>
    <n v="29.874199999999998"/>
    <n v="959903952"/>
    <m/>
    <m/>
    <m/>
    <s v="226 15568"/>
    <m/>
    <m/>
    <m/>
    <m/>
    <m/>
    <m/>
    <n v="821864838"/>
    <n v="0"/>
    <n v="547949809"/>
    <n v="821864838"/>
    <n v="1369814647"/>
    <n v="27395494"/>
    <n v="0"/>
    <n v="18264993"/>
    <n v="27395494"/>
    <n v="45660488"/>
    <n v="45.386099999999999"/>
    <n v="19.218"/>
    <n v="8776.02"/>
    <m/>
    <n v="2962"/>
    <n v="522"/>
    <x v="1"/>
    <n v="0"/>
  </r>
  <r>
    <s v="istree_exp8_full_comparison/step10075.txt"/>
    <x v="4"/>
    <m/>
    <s v="reclaimer_debra"/>
    <s v="allocator_new"/>
    <s v="pool_none"/>
    <n v="30000"/>
    <n v="20"/>
    <n v="20"/>
    <n v="0"/>
    <n v="1"/>
    <n v="20000000"/>
    <n v="190"/>
    <x v="4"/>
    <n v="190"/>
    <n v="0"/>
    <s v="insertIfAbsent"/>
    <n v="99986003312961"/>
    <n v="9999149"/>
    <n v="99986003312961"/>
    <n v="9999149"/>
    <s v="success"/>
    <n v="56"/>
    <n v="9999148"/>
    <n v="9999149"/>
    <n v="19998297"/>
    <n v="9999149"/>
    <n v="2"/>
    <n v="1"/>
    <n v="30.652999999999999"/>
    <n v="959918256"/>
    <m/>
    <m/>
    <m/>
    <s v="172 12048"/>
    <m/>
    <m/>
    <m/>
    <m/>
    <m/>
    <m/>
    <n v="959255376"/>
    <n v="0"/>
    <n v="639474833"/>
    <n v="959255376"/>
    <n v="1598730209"/>
    <n v="31975179"/>
    <n v="0"/>
    <n v="21315827"/>
    <n v="31975179"/>
    <n v="53291006"/>
    <n v="45.589599999999997"/>
    <n v="19.68"/>
    <n v="9799.59"/>
    <m/>
    <n v="2942"/>
    <n v="513"/>
    <x v="1"/>
    <n v="0"/>
  </r>
  <r>
    <s v="istree_exp8_full_comparison/step10076.txt"/>
    <x v="5"/>
    <m/>
    <s v="reclaimer_debra"/>
    <s v="allocator_new"/>
    <s v="pool_none"/>
    <n v="30000"/>
    <n v="20"/>
    <n v="20"/>
    <n v="0"/>
    <n v="1"/>
    <n v="20000000"/>
    <n v="24"/>
    <x v="0"/>
    <n v="24"/>
    <n v="0"/>
    <s v="insertIfAbsent"/>
    <n v="100026455966207"/>
    <n v="10002604"/>
    <n v="100026455966207"/>
    <n v="10002604"/>
    <s v="success"/>
    <n v="57"/>
    <n v="6549636"/>
    <n v="3452968"/>
    <n v="10002604"/>
    <n v="10002604"/>
    <n v="1.5271999999999999"/>
    <n v="2.8968099999999999"/>
    <n v="28.7502"/>
    <n v="1920499968"/>
    <m/>
    <m/>
    <m/>
    <s v="4912 117432"/>
    <m/>
    <m/>
    <m/>
    <m/>
    <m/>
    <m/>
    <n v="179304451"/>
    <n v="0"/>
    <n v="119563337"/>
    <n v="179304451"/>
    <n v="298867788"/>
    <n v="5976815"/>
    <n v="0"/>
    <n v="3985444"/>
    <n v="5976815"/>
    <n v="9962259"/>
    <n v="32.969099999999997"/>
    <n v="9.9082000000000008"/>
    <n v="6720.14"/>
    <m/>
    <n v="3039"/>
    <n v="1657"/>
    <x v="1"/>
    <n v="0"/>
  </r>
  <r>
    <s v="istree_exp8_full_comparison/step10077.txt"/>
    <x v="5"/>
    <m/>
    <s v="reclaimer_debra"/>
    <s v="allocator_new"/>
    <s v="pool_none"/>
    <n v="30000"/>
    <n v="20"/>
    <n v="20"/>
    <n v="0"/>
    <n v="1"/>
    <n v="20000000"/>
    <n v="48"/>
    <x v="1"/>
    <n v="48"/>
    <n v="0"/>
    <s v="insertIfAbsent"/>
    <n v="100016801745485"/>
    <n v="10000551"/>
    <n v="100016801745485"/>
    <n v="10000551"/>
    <s v="success"/>
    <n v="63"/>
    <n v="6543886"/>
    <n v="3456665"/>
    <n v="10000551"/>
    <n v="10000551"/>
    <n v="1.52823"/>
    <n v="2.8931200000000001"/>
    <n v="28.775099999999998"/>
    <n v="1920105792"/>
    <m/>
    <m/>
    <m/>
    <s v="1214 55148"/>
    <m/>
    <m/>
    <m/>
    <m/>
    <m/>
    <m/>
    <n v="351003606"/>
    <n v="0"/>
    <n v="233994525"/>
    <n v="351003606"/>
    <n v="584998131"/>
    <n v="11700120"/>
    <n v="0"/>
    <n v="7799817"/>
    <n v="11700120"/>
    <n v="19499937"/>
    <n v="33.473799999999997"/>
    <n v="9.24404"/>
    <n v="6864.49"/>
    <m/>
    <n v="3158"/>
    <n v="1186"/>
    <x v="1"/>
    <n v="0"/>
  </r>
  <r>
    <s v="istree_exp8_full_comparison/step10078.txt"/>
    <x v="5"/>
    <m/>
    <s v="reclaimer_debra"/>
    <s v="allocator_new"/>
    <s v="pool_none"/>
    <n v="30000"/>
    <n v="20"/>
    <n v="20"/>
    <n v="0"/>
    <n v="1"/>
    <n v="20000000"/>
    <n v="96"/>
    <x v="2"/>
    <n v="96"/>
    <n v="0"/>
    <s v="insertIfAbsent"/>
    <n v="100007133649090"/>
    <n v="10001993"/>
    <n v="100007133649090"/>
    <n v="10001993"/>
    <s v="success"/>
    <n v="56"/>
    <n v="6546833"/>
    <n v="3455160"/>
    <n v="10001993"/>
    <n v="10001993"/>
    <n v="1.52776"/>
    <n v="2.8948"/>
    <n v="29.297999999999998"/>
    <n v="1920382656"/>
    <m/>
    <m/>
    <m/>
    <s v="290 28128"/>
    <m/>
    <m/>
    <m/>
    <m/>
    <m/>
    <m/>
    <n v="730468515"/>
    <n v="0"/>
    <n v="486987512"/>
    <n v="730468515"/>
    <n v="1217456027"/>
    <n v="24348950"/>
    <n v="0"/>
    <n v="16232917"/>
    <n v="24348950"/>
    <n v="40581867"/>
    <n v="34.4621"/>
    <n v="9.4745200000000001"/>
    <n v="6591.22"/>
    <m/>
    <n v="4230"/>
    <n v="880"/>
    <x v="1"/>
    <n v="0"/>
  </r>
  <r>
    <s v="istree_exp8_full_comparison/step10079.txt"/>
    <x v="5"/>
    <m/>
    <s v="reclaimer_debra"/>
    <s v="allocator_new"/>
    <s v="pool_none"/>
    <n v="30000"/>
    <n v="20"/>
    <n v="20"/>
    <n v="0"/>
    <n v="1"/>
    <n v="20000000"/>
    <n v="144"/>
    <x v="3"/>
    <n v="144"/>
    <n v="0"/>
    <s v="insertIfAbsent"/>
    <n v="99990657386554"/>
    <n v="9999252"/>
    <n v="99990657386554"/>
    <n v="9999252"/>
    <s v="success"/>
    <n v="58"/>
    <n v="6544985"/>
    <n v="3454267"/>
    <n v="9999252"/>
    <n v="9999252"/>
    <n v="1.5277700000000001"/>
    <n v="2.8947500000000002"/>
    <n v="28.763300000000001"/>
    <n v="1919856384"/>
    <m/>
    <m/>
    <m/>
    <s v="194 18334"/>
    <m/>
    <m/>
    <m/>
    <m/>
    <m/>
    <m/>
    <n v="1078985509"/>
    <n v="0"/>
    <n v="719347295"/>
    <n v="1078985509"/>
    <n v="1798332804"/>
    <n v="35966183"/>
    <n v="0"/>
    <n v="23978243"/>
    <n v="35966183"/>
    <n v="59944426"/>
    <n v="35.136099999999999"/>
    <n v="10.1226"/>
    <n v="6690.58"/>
    <m/>
    <n v="4923"/>
    <n v="583"/>
    <x v="1"/>
    <n v="0"/>
  </r>
  <r>
    <s v="istree_exp8_full_comparison/step10080.txt"/>
    <x v="5"/>
    <m/>
    <s v="reclaimer_debra"/>
    <s v="allocator_new"/>
    <s v="pool_none"/>
    <n v="30000"/>
    <n v="20"/>
    <n v="20"/>
    <n v="0"/>
    <n v="1"/>
    <n v="20000000"/>
    <n v="190"/>
    <x v="4"/>
    <n v="190"/>
    <n v="0"/>
    <s v="insertIfAbsent"/>
    <n v="100008871533892"/>
    <n v="10002198"/>
    <n v="100008871533892"/>
    <n v="10002198"/>
    <s v="success"/>
    <n v="58"/>
    <n v="6547216"/>
    <n v="3454982"/>
    <n v="10002198"/>
    <n v="10002198"/>
    <n v="1.5277000000000001"/>
    <n v="2.8950100000000001"/>
    <n v="28.402200000000001"/>
    <n v="1920422016"/>
    <m/>
    <m/>
    <m/>
    <s v="150 13774"/>
    <m/>
    <m/>
    <m/>
    <m/>
    <m/>
    <m/>
    <n v="1387191965"/>
    <n v="0"/>
    <n v="924775339"/>
    <n v="1387191965"/>
    <n v="2311967304"/>
    <n v="46239732"/>
    <n v="0"/>
    <n v="30825844"/>
    <n v="46239732"/>
    <n v="77065576"/>
    <n v="35.439399999999999"/>
    <n v="10.4474"/>
    <n v="6864.87"/>
    <m/>
    <n v="4970"/>
    <n v="583"/>
    <x v="1"/>
    <n v="0"/>
  </r>
  <r>
    <s v="istree_exp8_full_comparison/step10081.txt"/>
    <x v="6"/>
    <n v="72"/>
    <s v="reclaimer_debra"/>
    <s v="allocator_new"/>
    <s v="pool_none"/>
    <n v="30000"/>
    <n v="20"/>
    <n v="20"/>
    <n v="0"/>
    <n v="1"/>
    <n v="20000000"/>
    <n v="24"/>
    <x v="0"/>
    <n v="24"/>
    <n v="0"/>
    <s v="insertIfAbsent"/>
    <n v="100027614430479"/>
    <n v="10002170"/>
    <n v="100027614430479"/>
    <n v="10002170"/>
    <s v="success"/>
    <n v="7"/>
    <n v="1748083"/>
    <n v="11692408"/>
    <n v="13440491"/>
    <n v="10002170"/>
    <n v="7.6886999999999999"/>
    <n v="0.85544100000000001"/>
    <n v="4.0244600000000004"/>
    <n v="326925808"/>
    <s v="74 134354 3849101 35155656 115785"/>
    <s v="48 134066 3848879 35155482 115785"/>
    <n v="62854"/>
    <n v="228194"/>
    <m/>
    <m/>
    <m/>
    <m/>
    <m/>
    <m/>
    <n v="360920129"/>
    <n v="0"/>
    <n v="240641986"/>
    <n v="360920129"/>
    <n v="601562115"/>
    <n v="12030670"/>
    <n v="0"/>
    <n v="8021399"/>
    <n v="12030670"/>
    <n v="20052070"/>
    <n v="26.076799999999999"/>
    <n v="11.1675"/>
    <n v="3309.71"/>
    <m/>
    <n v="2450"/>
    <n v="155"/>
    <x v="1"/>
    <s v="62854"/>
  </r>
  <r>
    <s v="istree_exp8_full_comparison/step10082.txt"/>
    <x v="6"/>
    <n v="72"/>
    <s v="reclaimer_debra"/>
    <s v="allocator_new"/>
    <s v="pool_none"/>
    <n v="30000"/>
    <n v="20"/>
    <n v="20"/>
    <n v="0"/>
    <n v="1"/>
    <n v="20000000"/>
    <n v="48"/>
    <x v="1"/>
    <n v="48"/>
    <n v="0"/>
    <s v="insertIfAbsent"/>
    <n v="99989537369685"/>
    <n v="9999680"/>
    <n v="99989537369685"/>
    <n v="9999680"/>
    <s v="success"/>
    <n v="7"/>
    <n v="1625797"/>
    <n v="11442031"/>
    <n v="13067828"/>
    <n v="9999680"/>
    <n v="8.0378000000000007"/>
    <n v="0.87394300000000003"/>
    <n v="4"/>
    <n v="313136240"/>
    <s v="160 242511 5299953 55460612 180823"/>
    <s v="78 242241 5299222 55460014 180823"/>
    <n v="249830"/>
    <n v="95718"/>
    <m/>
    <m/>
    <m/>
    <m/>
    <m/>
    <m/>
    <n v="585004015"/>
    <n v="0"/>
    <n v="389993036"/>
    <n v="585004015"/>
    <n v="974997051"/>
    <n v="19500133"/>
    <n v="0"/>
    <n v="12999767"/>
    <n v="19500133"/>
    <n v="32499901"/>
    <n v="26.860399999999998"/>
    <n v="11.854100000000001"/>
    <n v="4080.54"/>
    <m/>
    <n v="2504"/>
    <n v="225"/>
    <x v="1"/>
    <s v="249830"/>
  </r>
  <r>
    <s v="istree_exp8_full_comparison/step10083.txt"/>
    <x v="6"/>
    <n v="72"/>
    <s v="reclaimer_debra"/>
    <s v="allocator_new"/>
    <s v="pool_none"/>
    <n v="30000"/>
    <n v="20"/>
    <n v="20"/>
    <n v="0"/>
    <n v="1"/>
    <n v="20000000"/>
    <n v="96"/>
    <x v="2"/>
    <n v="96"/>
    <n v="0"/>
    <s v="insertIfAbsent"/>
    <n v="100004964715325"/>
    <n v="10001430"/>
    <n v="100004964715325"/>
    <n v="10001430"/>
    <s v="success"/>
    <n v="7"/>
    <n v="1724092"/>
    <n v="11651206"/>
    <n v="13375298"/>
    <n v="10001430"/>
    <n v="7.7578800000000001"/>
    <n v="0.85840300000000003"/>
    <n v="4.0201200000000004"/>
    <n v="324352176"/>
    <s v="411 432938 6319639 93813044 274207"/>
    <s v="136 432822 6317378 93810763 274202"/>
    <n v="909905"/>
    <n v="45664"/>
    <m/>
    <m/>
    <m/>
    <m/>
    <m/>
    <m/>
    <n v="1026605581"/>
    <n v="0"/>
    <n v="684388594"/>
    <n v="1026605581"/>
    <n v="1710994175"/>
    <n v="34220186"/>
    <n v="0"/>
    <n v="22812953"/>
    <n v="34220186"/>
    <n v="57033139"/>
    <n v="27.692399999999999"/>
    <n v="13.6717"/>
    <n v="4603.1400000000003"/>
    <m/>
    <n v="2634"/>
    <n v="226"/>
    <x v="1"/>
    <s v="909905"/>
  </r>
  <r>
    <s v="istree_exp8_full_comparison/step10084.txt"/>
    <x v="6"/>
    <n v="72"/>
    <s v="reclaimer_debra"/>
    <s v="allocator_new"/>
    <s v="pool_none"/>
    <n v="30000"/>
    <n v="20"/>
    <n v="20"/>
    <n v="0"/>
    <n v="1"/>
    <n v="20000000"/>
    <n v="144"/>
    <x v="3"/>
    <n v="144"/>
    <n v="0"/>
    <s v="insertIfAbsent"/>
    <n v="100018729178647"/>
    <n v="10002877"/>
    <n v="100018729178647"/>
    <n v="10002877"/>
    <s v="success"/>
    <n v="7"/>
    <n v="1778473"/>
    <n v="11770162"/>
    <n v="13548635"/>
    <n v="10002877"/>
    <n v="7.6181299999999998"/>
    <n v="0.84984999999999999"/>
    <n v="4.03057"/>
    <n v="330621888"/>
    <s v="623 606008 5082801 128296546 321644"/>
    <s v="191 605799 5079500 128291853 321639"/>
    <n v="1866421"/>
    <n v="29488"/>
    <m/>
    <m/>
    <m/>
    <m/>
    <m/>
    <m/>
    <n v="1437655033"/>
    <n v="0"/>
    <n v="958490638"/>
    <n v="1437655033"/>
    <n v="2396145671"/>
    <n v="47921834"/>
    <n v="0"/>
    <n v="31949687"/>
    <n v="47921834"/>
    <n v="79871522"/>
    <n v="28.032499999999999"/>
    <n v="14.504"/>
    <n v="4889.82"/>
    <m/>
    <n v="2803"/>
    <n v="363"/>
    <x v="1"/>
    <s v="1866421"/>
  </r>
  <r>
    <s v="istree_exp8_full_comparison/step10085.txt"/>
    <x v="6"/>
    <n v="72"/>
    <s v="reclaimer_debra"/>
    <s v="allocator_new"/>
    <s v="pool_none"/>
    <n v="30000"/>
    <n v="20"/>
    <n v="20"/>
    <n v="0"/>
    <n v="1"/>
    <n v="20000000"/>
    <n v="190"/>
    <x v="4"/>
    <n v="190"/>
    <n v="0"/>
    <s v="insertIfAbsent"/>
    <n v="100013991164673"/>
    <n v="10001520"/>
    <n v="100013991164673"/>
    <n v="10001520"/>
    <s v="success"/>
    <n v="7"/>
    <n v="1877631"/>
    <n v="11977424"/>
    <n v="13855055"/>
    <n v="10001520"/>
    <n v="7.3790100000000001"/>
    <n v="0.83503099999999997"/>
    <n v="4.05023"/>
    <n v="341886368"/>
    <s v="852 728069 6140566 154370669 388168"/>
    <s v="230 727836 6135554 154363378 388160"/>
    <n v="2897801"/>
    <n v="22120"/>
    <m/>
    <m/>
    <m/>
    <m/>
    <m/>
    <m/>
    <n v="1729540359"/>
    <n v="0"/>
    <n v="1153077609"/>
    <n v="1729540359"/>
    <n v="2882617968"/>
    <n v="57651345"/>
    <n v="0"/>
    <n v="38435920"/>
    <n v="57651345"/>
    <n v="96087265"/>
    <n v="28.635899999999999"/>
    <n v="15.2934"/>
    <n v="5332.95"/>
    <m/>
    <n v="2924"/>
    <n v="405"/>
    <x v="1"/>
    <s v="2897801"/>
  </r>
  <r>
    <s v="istree_exp8_full_comparison/step10086.txt"/>
    <x v="7"/>
    <n v="208"/>
    <s v="reclaimer_debra"/>
    <s v="allocator_new"/>
    <s v="pool_none"/>
    <n v="30000"/>
    <n v="20"/>
    <n v="20"/>
    <n v="0"/>
    <n v="1"/>
    <n v="20000000"/>
    <n v="24"/>
    <x v="0"/>
    <n v="24"/>
    <n v="0"/>
    <s v="insertIfAbsent"/>
    <n v="100046813129936"/>
    <n v="10001815"/>
    <n v="100046813129936"/>
    <n v="10001815"/>
    <s v="success"/>
    <n v="9"/>
    <n v="292898"/>
    <n v="1945659"/>
    <n v="2238557"/>
    <n v="10001815"/>
    <n v="7.6427899999999998"/>
    <n v="5.1405799999999999"/>
    <n v="8"/>
    <n v="465619856"/>
    <m/>
    <m/>
    <m/>
    <s v="5344 292112"/>
    <m/>
    <m/>
    <m/>
    <m/>
    <m/>
    <m/>
    <n v="462506955"/>
    <n v="0"/>
    <n v="308331003"/>
    <n v="462506955"/>
    <n v="770837958"/>
    <n v="15416898"/>
    <n v="0"/>
    <n v="10277700"/>
    <n v="15416898"/>
    <n v="25694598"/>
    <n v="19.527000000000001"/>
    <n v="6.3743699999999999"/>
    <n v="2604.46"/>
    <m/>
    <n v="1576"/>
    <n v="836"/>
    <x v="1"/>
    <n v="0"/>
  </r>
  <r>
    <s v="istree_exp8_full_comparison/step10087.txt"/>
    <x v="7"/>
    <n v="208"/>
    <s v="reclaimer_debra"/>
    <s v="allocator_new"/>
    <s v="pool_none"/>
    <n v="30000"/>
    <n v="20"/>
    <n v="20"/>
    <n v="0"/>
    <n v="1"/>
    <n v="20000000"/>
    <n v="48"/>
    <x v="1"/>
    <n v="48"/>
    <n v="0"/>
    <s v="insertIfAbsent"/>
    <n v="100015677072564"/>
    <n v="10001372"/>
    <n v="100015677072564"/>
    <n v="10001372"/>
    <s v="success"/>
    <n v="9"/>
    <n v="307365"/>
    <n v="1966322"/>
    <n v="2273687"/>
    <n v="10001372"/>
    <n v="7.3973500000000003"/>
    <n v="5.0863300000000002"/>
    <n v="8"/>
    <n v="472926896"/>
    <m/>
    <m/>
    <m/>
    <s v="1412 125930"/>
    <m/>
    <m/>
    <m/>
    <m/>
    <m/>
    <m/>
    <n v="818230835"/>
    <n v="0"/>
    <n v="545469510"/>
    <n v="818230835"/>
    <n v="1363700345"/>
    <n v="27274361"/>
    <n v="0"/>
    <n v="18182317"/>
    <n v="27274361"/>
    <n v="45456678"/>
    <n v="20.096499999999999"/>
    <n v="6.7445899999999996"/>
    <n v="2942.82"/>
    <m/>
    <n v="1705"/>
    <n v="772"/>
    <x v="1"/>
    <n v="0"/>
  </r>
  <r>
    <s v="istree_exp8_full_comparison/step10088.txt"/>
    <x v="7"/>
    <n v="208"/>
    <s v="reclaimer_debra"/>
    <s v="allocator_new"/>
    <s v="pool_none"/>
    <n v="30000"/>
    <n v="20"/>
    <n v="20"/>
    <n v="0"/>
    <n v="1"/>
    <n v="20000000"/>
    <n v="96"/>
    <x v="2"/>
    <n v="96"/>
    <n v="0"/>
    <s v="insertIfAbsent"/>
    <n v="99993844398964"/>
    <n v="9999722"/>
    <n v="99993844398964"/>
    <n v="9999722"/>
    <s v="success"/>
    <n v="9"/>
    <n v="319933"/>
    <n v="1959522"/>
    <n v="2279455"/>
    <n v="9999722"/>
    <n v="7.12479"/>
    <n v="5.1031399999999998"/>
    <n v="8"/>
    <n v="474126640"/>
    <m/>
    <m/>
    <m/>
    <s v="720 60356"/>
    <m/>
    <m/>
    <m/>
    <m/>
    <m/>
    <m/>
    <n v="1491148854"/>
    <n v="0"/>
    <n v="994079288"/>
    <n v="1491148854"/>
    <n v="2485228142"/>
    <n v="49704961"/>
    <n v="0"/>
    <n v="33135976"/>
    <n v="49704961"/>
    <n v="82840938"/>
    <n v="21.424399999999999"/>
    <n v="7.6622700000000004"/>
    <n v="3216.22"/>
    <m/>
    <n v="2137"/>
    <n v="892"/>
    <x v="1"/>
    <n v="0"/>
  </r>
  <r>
    <s v="istree_exp8_full_comparison/step10089.txt"/>
    <x v="7"/>
    <n v="208"/>
    <s v="reclaimer_debra"/>
    <s v="allocator_new"/>
    <s v="pool_none"/>
    <n v="30000"/>
    <n v="20"/>
    <n v="20"/>
    <n v="0"/>
    <n v="1"/>
    <n v="20000000"/>
    <n v="144"/>
    <x v="3"/>
    <n v="144"/>
    <n v="0"/>
    <s v="insertIfAbsent"/>
    <n v="99963062977227"/>
    <n v="9996795"/>
    <n v="99963062977227"/>
    <n v="9996795"/>
    <s v="success"/>
    <n v="9"/>
    <n v="324845"/>
    <n v="1956134"/>
    <n v="2280979"/>
    <n v="9996795"/>
    <n v="7.0217499999999999"/>
    <n v="5.1104900000000004"/>
    <n v="8"/>
    <n v="474443632"/>
    <m/>
    <m/>
    <m/>
    <s v="728 37990"/>
    <m/>
    <m/>
    <m/>
    <m/>
    <m/>
    <m/>
    <n v="1926183646"/>
    <n v="0"/>
    <n v="1284067539"/>
    <n v="1926183646"/>
    <n v="3210251185"/>
    <n v="64206121"/>
    <n v="0"/>
    <n v="42802251"/>
    <n v="64206121"/>
    <n v="107008372"/>
    <n v="22.514399999999998"/>
    <n v="8.61557"/>
    <n v="3734.42"/>
    <m/>
    <n v="2121"/>
    <n v="847"/>
    <x v="1"/>
    <n v="0"/>
  </r>
  <r>
    <s v="istree_exp8_full_comparison/step10090.txt"/>
    <x v="7"/>
    <n v="208"/>
    <s v="reclaimer_debra"/>
    <s v="allocator_new"/>
    <s v="pool_none"/>
    <n v="30000"/>
    <n v="20"/>
    <n v="20"/>
    <n v="0"/>
    <n v="1"/>
    <n v="20000000"/>
    <n v="190"/>
    <x v="4"/>
    <n v="190"/>
    <n v="0"/>
    <s v="insertIfAbsent"/>
    <n v="100063402078489"/>
    <n v="10005173"/>
    <n v="100063402078489"/>
    <n v="10005173"/>
    <s v="success"/>
    <n v="9"/>
    <n v="327226"/>
    <n v="1955734"/>
    <n v="2282960"/>
    <n v="10005173"/>
    <n v="6.9767099999999997"/>
    <n v="5.1158099999999997"/>
    <n v="8"/>
    <n v="474855680"/>
    <m/>
    <m/>
    <m/>
    <s v="616 29090"/>
    <m/>
    <m/>
    <m/>
    <m/>
    <m/>
    <m/>
    <n v="2187557069"/>
    <n v="0"/>
    <n v="1458443968"/>
    <n v="2187557069"/>
    <n v="3646001037"/>
    <n v="72918568"/>
    <n v="0"/>
    <n v="48614798"/>
    <n v="72918568"/>
    <n v="121533367"/>
    <n v="22.898499999999999"/>
    <n v="9.0851299999999995"/>
    <n v="4306.08"/>
    <m/>
    <n v="2263"/>
    <n v="929"/>
    <x v="1"/>
    <n v="0"/>
  </r>
  <r>
    <s v="istree_exp8_full_comparison/step10091.txt"/>
    <x v="8"/>
    <m/>
    <s v="reclaimer_debra"/>
    <s v="allocator_new"/>
    <s v="pool_none"/>
    <n v="30000"/>
    <n v="20"/>
    <n v="20"/>
    <n v="0"/>
    <n v="1"/>
    <n v="20000000"/>
    <n v="24"/>
    <x v="0"/>
    <n v="24"/>
    <n v="0"/>
    <s v="insertIfAbsent"/>
    <n v="99995087424081"/>
    <n v="9999034"/>
    <n v="99995087424081"/>
    <n v="9999034"/>
    <s v="success"/>
    <n v="29"/>
    <n v="6857903"/>
    <n v="5201169"/>
    <n v="12059072"/>
    <n v="9999034"/>
    <n v="1.7584200000000001"/>
    <n v="1.9224600000000001"/>
    <n v="23.208200000000001"/>
    <n v="675308032"/>
    <m/>
    <m/>
    <m/>
    <s v="4902 145596"/>
    <m/>
    <m/>
    <m/>
    <m/>
    <m/>
    <m/>
    <n v="225572893"/>
    <n v="0"/>
    <n v="150370674"/>
    <n v="225572893"/>
    <n v="375943567"/>
    <n v="7519096"/>
    <n v="0"/>
    <n v="5012355"/>
    <n v="7519096"/>
    <n v="12531452"/>
    <n v="30.0183"/>
    <n v="10.647399999999999"/>
    <n v="5341.55"/>
    <m/>
    <n v="1861"/>
    <n v="1451"/>
    <x v="1"/>
    <n v="0"/>
  </r>
  <r>
    <s v="istree_exp8_full_comparison/step10092.txt"/>
    <x v="8"/>
    <m/>
    <s v="reclaimer_debra"/>
    <s v="allocator_new"/>
    <s v="pool_none"/>
    <n v="30000"/>
    <n v="20"/>
    <n v="20"/>
    <n v="0"/>
    <n v="1"/>
    <n v="20000000"/>
    <n v="48"/>
    <x v="1"/>
    <n v="48"/>
    <n v="0"/>
    <s v="insertIfAbsent"/>
    <n v="100021831228668"/>
    <n v="10003234"/>
    <n v="100021831228668"/>
    <n v="10003234"/>
    <s v="success"/>
    <n v="29"/>
    <n v="6859562"/>
    <n v="5206025"/>
    <n v="12065587"/>
    <n v="10003234"/>
    <n v="1.7589399999999999"/>
    <n v="1.92147"/>
    <n v="23.246300000000002"/>
    <n v="675672872"/>
    <m/>
    <m/>
    <m/>
    <s v="1216 65986"/>
    <m/>
    <m/>
    <m/>
    <m/>
    <m/>
    <m/>
    <n v="423378852"/>
    <n v="0"/>
    <n v="282301502"/>
    <n v="423378852"/>
    <n v="705680354"/>
    <n v="14112628"/>
    <n v="0"/>
    <n v="9410050"/>
    <n v="14112628"/>
    <n v="23522678"/>
    <n v="30.6632"/>
    <n v="10.56"/>
    <n v="5690.16"/>
    <m/>
    <n v="1892"/>
    <n v="1041"/>
    <x v="1"/>
    <n v="0"/>
  </r>
  <r>
    <s v="istree_exp8_full_comparison/step10093.txt"/>
    <x v="8"/>
    <m/>
    <s v="reclaimer_debra"/>
    <s v="allocator_new"/>
    <s v="pool_none"/>
    <n v="30000"/>
    <n v="20"/>
    <n v="20"/>
    <n v="0"/>
    <n v="1"/>
    <n v="20000000"/>
    <n v="96"/>
    <x v="2"/>
    <n v="96"/>
    <n v="0"/>
    <s v="insertIfAbsent"/>
    <n v="100025311036202"/>
    <n v="10000677"/>
    <n v="100025311036202"/>
    <n v="10000677"/>
    <s v="success"/>
    <n v="29"/>
    <n v="6858435"/>
    <n v="5202272"/>
    <n v="12060707"/>
    <n v="10000677"/>
    <n v="1.7585200000000001"/>
    <n v="1.9223699999999999"/>
    <n v="23.256799999999998"/>
    <n v="675399592"/>
    <m/>
    <m/>
    <m/>
    <s v="292 33578"/>
    <m/>
    <m/>
    <m/>
    <m/>
    <m/>
    <m/>
    <n v="880004524"/>
    <n v="0"/>
    <n v="586677342"/>
    <n v="880004524"/>
    <n v="1466681866"/>
    <n v="29333484"/>
    <n v="0"/>
    <n v="19555911"/>
    <n v="29333484"/>
    <n v="48889395"/>
    <n v="31.360199999999999"/>
    <n v="11.197100000000001"/>
    <n v="5469.36"/>
    <m/>
    <n v="2056"/>
    <n v="766"/>
    <x v="1"/>
    <n v="0"/>
  </r>
  <r>
    <s v="istree_exp8_full_comparison/step10094.txt"/>
    <x v="8"/>
    <m/>
    <s v="reclaimer_debra"/>
    <s v="allocator_new"/>
    <s v="pool_none"/>
    <n v="30000"/>
    <n v="20"/>
    <n v="20"/>
    <n v="0"/>
    <n v="1"/>
    <n v="20000000"/>
    <n v="144"/>
    <x v="3"/>
    <n v="144"/>
    <n v="0"/>
    <s v="insertIfAbsent"/>
    <n v="100056610850082"/>
    <n v="10003504"/>
    <n v="100056610850082"/>
    <n v="10003504"/>
    <s v="success"/>
    <n v="29"/>
    <n v="6859414"/>
    <n v="5203079"/>
    <n v="12062493"/>
    <n v="10003504"/>
    <n v="1.7585299999999999"/>
    <n v="1.9226099999999999"/>
    <n v="23.2118"/>
    <n v="675499608"/>
    <m/>
    <m/>
    <m/>
    <s v="192 21770"/>
    <m/>
    <m/>
    <m/>
    <m/>
    <m/>
    <m/>
    <n v="1291988744"/>
    <n v="0"/>
    <n v="861342869"/>
    <n v="1291988744"/>
    <n v="2153331613"/>
    <n v="43066291"/>
    <n v="0"/>
    <n v="28711428"/>
    <n v="43066291"/>
    <n v="71777720"/>
    <n v="32.14"/>
    <n v="11.8292"/>
    <n v="5579.71"/>
    <m/>
    <n v="2426"/>
    <n v="476"/>
    <x v="1"/>
    <n v="0"/>
  </r>
  <r>
    <s v="istree_exp8_full_comparison/step10095.txt"/>
    <x v="8"/>
    <m/>
    <s v="reclaimer_debra"/>
    <s v="allocator_new"/>
    <s v="pool_none"/>
    <n v="30000"/>
    <n v="20"/>
    <n v="20"/>
    <n v="0"/>
    <n v="1"/>
    <n v="20000000"/>
    <n v="190"/>
    <x v="4"/>
    <n v="190"/>
    <n v="0"/>
    <s v="insertIfAbsent"/>
    <n v="99976800262830"/>
    <n v="9997367"/>
    <n v="99976800262830"/>
    <n v="9997367"/>
    <s v="success"/>
    <n v="29"/>
    <n v="6858199"/>
    <n v="5203970"/>
    <n v="12062169"/>
    <n v="9997367"/>
    <n v="1.7587999999999999"/>
    <n v="1.9211"/>
    <n v="23.193000000000001"/>
    <n v="675481464"/>
    <m/>
    <m/>
    <m/>
    <s v="152 16664"/>
    <m/>
    <m/>
    <m/>
    <m/>
    <m/>
    <m/>
    <n v="1665127932"/>
    <n v="0"/>
    <n v="1110022508"/>
    <n v="1665127932"/>
    <n v="2775150440"/>
    <n v="55504264"/>
    <n v="0"/>
    <n v="37000750"/>
    <n v="55504264"/>
    <n v="92505014"/>
    <n v="32.661499999999997"/>
    <n v="12.292299999999999"/>
    <n v="5710.87"/>
    <m/>
    <n v="2521"/>
    <n v="472"/>
    <x v="1"/>
    <n v="0"/>
  </r>
  <r>
    <s v="istree_exp8_full_comparison/step10096.txt"/>
    <x v="9"/>
    <m/>
    <s v="reclaimer_debra"/>
    <s v="allocator_new"/>
    <s v="pool_none"/>
    <n v="30000"/>
    <n v="20"/>
    <n v="20"/>
    <n v="0"/>
    <n v="1"/>
    <n v="20000000"/>
    <n v="24"/>
    <x v="0"/>
    <n v="24"/>
    <n v="0"/>
    <s v="insertIfAbsent"/>
    <n v="99992225952310"/>
    <n v="10000674"/>
    <n v="99992225952310"/>
    <n v="10000674"/>
    <s v="success"/>
    <n v="56"/>
    <n v="10000673"/>
    <n v="10000674"/>
    <n v="20001347"/>
    <n v="10000674"/>
    <n v="2"/>
    <n v="1"/>
    <n v="30.569299999999998"/>
    <n v="640043104"/>
    <m/>
    <m/>
    <m/>
    <s v="4920 121832"/>
    <m/>
    <m/>
    <m/>
    <m/>
    <m/>
    <m/>
    <n v="186812883"/>
    <n v="0"/>
    <n v="124530091"/>
    <n v="186812883"/>
    <n v="311342974"/>
    <n v="6227096"/>
    <n v="0"/>
    <n v="4151003"/>
    <n v="6227096"/>
    <n v="10378099"/>
    <n v="26.075199999999999"/>
    <n v="9.7836999999999996"/>
    <n v="6451.08"/>
    <m/>
    <n v="1750"/>
    <n v="1501"/>
    <x v="1"/>
    <n v="0"/>
  </r>
  <r>
    <s v="istree_exp8_full_comparison/step10097.txt"/>
    <x v="9"/>
    <m/>
    <s v="reclaimer_debra"/>
    <s v="allocator_new"/>
    <s v="pool_none"/>
    <n v="30000"/>
    <n v="20"/>
    <n v="20"/>
    <n v="0"/>
    <n v="1"/>
    <n v="20000000"/>
    <n v="48"/>
    <x v="1"/>
    <n v="48"/>
    <n v="0"/>
    <s v="insertIfAbsent"/>
    <n v="99991292820850"/>
    <n v="10000146"/>
    <n v="99991292820850"/>
    <n v="10000146"/>
    <s v="success"/>
    <n v="59"/>
    <n v="10000145"/>
    <n v="10000146"/>
    <n v="20000291"/>
    <n v="10000146"/>
    <n v="2"/>
    <n v="1"/>
    <n v="30.608899999999998"/>
    <n v="640009312"/>
    <m/>
    <m/>
    <m/>
    <s v="1242 56436"/>
    <m/>
    <m/>
    <m/>
    <m/>
    <m/>
    <m/>
    <n v="360466746"/>
    <n v="0"/>
    <n v="240318760"/>
    <n v="360466746"/>
    <n v="600785506"/>
    <n v="12015558"/>
    <n v="0"/>
    <n v="8010625"/>
    <n v="12015558"/>
    <n v="20026183"/>
    <n v="26.023099999999999"/>
    <n v="9.5957899999999992"/>
    <n v="6684.63"/>
    <m/>
    <n v="1820"/>
    <n v="1066"/>
    <x v="1"/>
    <n v="0"/>
  </r>
  <r>
    <s v="istree_exp8_full_comparison/step10098.txt"/>
    <x v="9"/>
    <m/>
    <s v="reclaimer_debra"/>
    <s v="allocator_new"/>
    <s v="pool_none"/>
    <n v="30000"/>
    <n v="20"/>
    <n v="20"/>
    <n v="0"/>
    <n v="1"/>
    <n v="20000000"/>
    <n v="96"/>
    <x v="2"/>
    <n v="96"/>
    <n v="0"/>
    <s v="insertIfAbsent"/>
    <n v="100019190850691"/>
    <n v="10000818"/>
    <n v="100019190850691"/>
    <n v="10000818"/>
    <s v="success"/>
    <n v="59"/>
    <n v="10000817"/>
    <n v="10000818"/>
    <n v="20001635"/>
    <n v="10000818"/>
    <n v="2"/>
    <n v="1"/>
    <n v="30.6615"/>
    <n v="640052320"/>
    <m/>
    <m/>
    <m/>
    <s v="296 29518"/>
    <m/>
    <m/>
    <m/>
    <m/>
    <m/>
    <m/>
    <n v="759029954"/>
    <n v="0"/>
    <n v="506047918"/>
    <n v="759029954"/>
    <n v="1265077872"/>
    <n v="25300998"/>
    <n v="0"/>
    <n v="16868263"/>
    <n v="25300998"/>
    <n v="42169262"/>
    <n v="27.539100000000001"/>
    <n v="10.6226"/>
    <n v="6343.19"/>
    <m/>
    <n v="2279"/>
    <n v="781"/>
    <x v="1"/>
    <n v="0"/>
  </r>
  <r>
    <s v="istree_exp8_full_comparison/step10099.txt"/>
    <x v="9"/>
    <m/>
    <s v="reclaimer_debra"/>
    <s v="allocator_new"/>
    <s v="pool_none"/>
    <n v="30000"/>
    <n v="20"/>
    <n v="20"/>
    <n v="0"/>
    <n v="1"/>
    <n v="20000000"/>
    <n v="144"/>
    <x v="3"/>
    <n v="144"/>
    <n v="0"/>
    <s v="insertIfAbsent"/>
    <n v="99990051306163"/>
    <n v="10000052"/>
    <n v="99990051306163"/>
    <n v="10000052"/>
    <s v="success"/>
    <n v="57"/>
    <n v="10000051"/>
    <n v="10000052"/>
    <n v="20000103"/>
    <n v="10000052"/>
    <n v="2"/>
    <n v="1"/>
    <n v="30.451699999999999"/>
    <n v="640003296"/>
    <m/>
    <m/>
    <m/>
    <s v="210 18924"/>
    <m/>
    <m/>
    <m/>
    <m/>
    <m/>
    <m/>
    <n v="1065685658"/>
    <n v="0"/>
    <n v="710440229"/>
    <n v="1065685658"/>
    <n v="1776125887"/>
    <n v="35522855"/>
    <n v="0"/>
    <n v="23681340"/>
    <n v="35522855"/>
    <n v="59204196"/>
    <n v="28.6449"/>
    <n v="11.5471"/>
    <n v="6771.6"/>
    <m/>
    <n v="2351"/>
    <n v="454"/>
    <x v="1"/>
    <n v="0"/>
  </r>
  <r>
    <s v="istree_exp8_full_comparison/step10100.txt"/>
    <x v="9"/>
    <m/>
    <s v="reclaimer_debra"/>
    <s v="allocator_new"/>
    <s v="pool_none"/>
    <n v="30000"/>
    <n v="20"/>
    <n v="20"/>
    <n v="0"/>
    <n v="1"/>
    <n v="20000000"/>
    <n v="190"/>
    <x v="4"/>
    <n v="190"/>
    <n v="0"/>
    <s v="insertIfAbsent"/>
    <n v="100015612285669"/>
    <n v="10000925"/>
    <n v="100015612285669"/>
    <n v="10000925"/>
    <s v="success"/>
    <n v="58"/>
    <n v="10000924"/>
    <n v="10000925"/>
    <n v="20001849"/>
    <n v="10000925"/>
    <n v="2"/>
    <n v="1"/>
    <n v="30.432099999999998"/>
    <n v="640059168"/>
    <m/>
    <m/>
    <m/>
    <s v="152 14186"/>
    <m/>
    <m/>
    <m/>
    <m/>
    <m/>
    <m/>
    <n v="1283171002"/>
    <n v="0"/>
    <n v="855438082"/>
    <n v="1283171002"/>
    <n v="2138609084"/>
    <n v="42772366"/>
    <n v="0"/>
    <n v="28514602"/>
    <n v="42772366"/>
    <n v="71286969"/>
    <n v="29.1526"/>
    <n v="12.085000000000001"/>
    <n v="7394.94"/>
    <m/>
    <n v="2322"/>
    <n v="454"/>
    <x v="1"/>
    <n v="0"/>
  </r>
  <r>
    <m/>
    <x v="10"/>
    <m/>
    <m/>
    <m/>
    <m/>
    <m/>
    <m/>
    <m/>
    <m/>
    <m/>
    <m/>
    <m/>
    <x v="5"/>
    <m/>
    <m/>
    <m/>
    <m/>
    <m/>
    <m/>
    <m/>
    <m/>
    <m/>
    <m/>
    <m/>
    <m/>
    <m/>
    <m/>
    <m/>
    <m/>
    <m/>
    <m/>
    <m/>
    <m/>
    <m/>
    <m/>
    <m/>
    <m/>
    <m/>
    <m/>
    <m/>
    <m/>
    <m/>
    <m/>
    <m/>
    <m/>
    <m/>
    <m/>
    <m/>
    <m/>
    <m/>
    <m/>
    <m/>
    <m/>
    <m/>
    <m/>
    <m/>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9">
    <pivotField showAll="0" defaultSubtotal="0"/>
    <pivotField axis="axisCol"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maxresident_mb" fld="55" subtotal="average" baseField="13" baseItem="3"/>
  </dataFields>
  <formats count="2">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9">
    <pivotField showAll="0" defaultSubtotal="0"/>
    <pivotField axis="axisCol"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PAPI_TOT_CYC" fld="53" subtotal="average" baseField="13" baseItem="1"/>
  </dataFields>
  <formats count="2">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Max" cacheId="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I71" firstHeaderRow="1" firstDataRow="2" firstDataCol="1" rowPageCount="1" colPageCount="1"/>
  <pivotFields count="59">
    <pivotField showAll="0" defaultSubtotal="0"/>
    <pivotField axis="axisCol" showAll="0" defaultSubtotal="0">
      <items count="11">
        <item h="1" x="10"/>
        <item x="9"/>
        <item x="8"/>
        <item x="7"/>
        <item x="6"/>
        <item x="0"/>
        <item x="1"/>
        <item h="1" x="2"/>
        <item h="1" x="3"/>
        <item x="4"/>
        <item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8">
    <i>
      <x v="1"/>
    </i>
    <i>
      <x v="2"/>
    </i>
    <i>
      <x v="3"/>
    </i>
    <i>
      <x v="4"/>
    </i>
    <i>
      <x v="5"/>
    </i>
    <i>
      <x v="6"/>
    </i>
    <i>
      <x v="9"/>
    </i>
    <i>
      <x v="10"/>
    </i>
  </colItems>
  <pageFields count="1">
    <pageField fld="57" item="2" hier="-1"/>
  </pageFields>
  <dataFields count="1">
    <dataField name="Max of total_throughput" fld="50" subtotal="max" baseField="13" baseItem="2" numFmtId="1"/>
  </dataFields>
  <formats count="2">
    <format dxfId="9">
      <pivotArea outline="0" collapsedLevelsAreSubtotals="1"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Min" cacheId="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I44" firstHeaderRow="1" firstDataRow="2" firstDataCol="1" rowPageCount="1" colPageCount="1"/>
  <pivotFields count="59">
    <pivotField showAll="0" defaultSubtotal="0"/>
    <pivotField axis="axisCol" showAll="0" defaultSubtotal="0">
      <items count="11">
        <item h="1" x="10"/>
        <item x="9"/>
        <item x="8"/>
        <item x="7"/>
        <item x="6"/>
        <item x="0"/>
        <item x="1"/>
        <item h="1" x="2"/>
        <item h="1" x="3"/>
        <item x="4"/>
        <item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8">
    <i>
      <x v="1"/>
    </i>
    <i>
      <x v="2"/>
    </i>
    <i>
      <x v="3"/>
    </i>
    <i>
      <x v="4"/>
    </i>
    <i>
      <x v="5"/>
    </i>
    <i>
      <x v="6"/>
    </i>
    <i>
      <x v="9"/>
    </i>
    <i>
      <x v="10"/>
    </i>
  </colItems>
  <pageFields count="1">
    <pageField fld="57" item="2" hier="-1"/>
  </pageFields>
  <dataFields count="1">
    <dataField name="Min of total_throughput" fld="50" subtotal="min" baseField="13" baseItem="1" numFmtId="1"/>
  </dataFields>
  <formats count="2">
    <format dxfId="11">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Main" cacheId="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I10" firstHeaderRow="1" firstDataRow="2" firstDataCol="1" rowPageCount="1" colPageCount="1"/>
  <pivotFields count="59">
    <pivotField showAll="0" defaultSubtotal="0"/>
    <pivotField axis="axisCol" showAll="0" defaultSubtotal="0">
      <items count="11">
        <item h="1" x="10"/>
        <item x="9"/>
        <item x="8"/>
        <item x="7"/>
        <item x="6"/>
        <item x="0"/>
        <item x="1"/>
        <item h="1" x="2"/>
        <item h="1" x="3"/>
        <item x="4"/>
        <item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8">
    <i>
      <x v="1"/>
    </i>
    <i>
      <x v="2"/>
    </i>
    <i>
      <x v="3"/>
    </i>
    <i>
      <x v="4"/>
    </i>
    <i>
      <x v="5"/>
    </i>
    <i>
      <x v="6"/>
    </i>
    <i>
      <x v="9"/>
    </i>
    <i>
      <x v="10"/>
    </i>
  </colItems>
  <pageFields count="1">
    <pageField fld="57" item="2" hier="-1"/>
  </pageFields>
  <dataFields count="1">
    <dataField name="Average of total_throughput" fld="50" subtotal="average" baseField="13" baseItem="0" numFmtId="1"/>
  </dataFields>
  <formats count="2">
    <format dxfId="13">
      <pivotArea outline="0" collapsedLevelsAreSubtotals="1" fieldPosition="0"/>
    </format>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Main" cacheId="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9">
    <pivotField showAll="0" defaultSubtotal="0"/>
    <pivotField axis="axisCol"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tree_stats_height" fld="22" subtotal="average" baseField="13" baseItem="3"/>
  </data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Main" cacheId="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9">
    <pivotField showAll="0" defaultSubtotal="0"/>
    <pivotField axis="axisCol"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prefill_elapsed_ms" fld="56" subtotal="average" baseField="13"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Main" cacheId="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9">
    <pivotField showAll="0" defaultSubtotal="0"/>
    <pivotField axis="axisRow"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
  </rowFields>
  <rowItems count="4">
    <i>
      <x v="1"/>
    </i>
    <i>
      <x v="2"/>
    </i>
    <i>
      <x v="3"/>
    </i>
    <i>
      <x v="4"/>
    </i>
  </rowItems>
  <colItems count="1">
    <i/>
  </colItems>
  <pageFields count="2">
    <pageField fld="13" item="5" hier="-1"/>
    <pageField fld="57" hier="-1"/>
  </pageFields>
  <dataFields count="1">
    <dataField name="Average of PAPI_TOT_CYC" fld="53" subtotal="average" baseField="13"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Other" cacheId="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9">
    <pivotField showAll="0" defaultSubtotal="0"/>
    <pivotField axis="axisRow"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3">
        <item x="2"/>
        <item x="0"/>
        <item x="1"/>
      </items>
    </pivotField>
    <pivotField showAll="0" defaultSubtotal="0"/>
  </pivotFields>
  <rowFields count="1">
    <field x="1"/>
  </rowFields>
  <rowItems count="4">
    <i>
      <x v="1"/>
    </i>
    <i>
      <x v="2"/>
    </i>
    <i>
      <x v="3"/>
    </i>
    <i>
      <x v="4"/>
    </i>
  </rowItems>
  <colItems count="1">
    <i/>
  </colItems>
  <pageFields count="2">
    <pageField fld="13" item="5" hier="-1"/>
    <pageField fld="57" hier="-1"/>
  </pageFields>
  <dataFields count="1">
    <dataField name="Average of PAPI_RES_STL" fld="54" subtotal="average" baseField="13" baseItem="2"/>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4"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G101"/>
  <sheetViews>
    <sheetView workbookViewId="0">
      <pane ySplit="1" topLeftCell="A45" activePane="bottomLeft" state="frozen"/>
      <selection pane="bottomLeft" activeCell="A62" sqref="A62:XFD66"/>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59">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70</v>
      </c>
      <c r="S1" t="s">
        <v>71</v>
      </c>
      <c r="T1" t="s">
        <v>45</v>
      </c>
      <c r="U1" t="s">
        <v>72</v>
      </c>
      <c r="V1" t="s">
        <v>73</v>
      </c>
      <c r="W1" t="s">
        <v>37</v>
      </c>
      <c r="X1" t="s">
        <v>38</v>
      </c>
      <c r="Y1" t="s">
        <v>39</v>
      </c>
      <c r="Z1" t="s">
        <v>40</v>
      </c>
      <c r="AA1" t="s">
        <v>41</v>
      </c>
      <c r="AB1" t="s">
        <v>42</v>
      </c>
      <c r="AC1" t="s">
        <v>43</v>
      </c>
      <c r="AD1" t="s">
        <v>44</v>
      </c>
      <c r="AE1" t="s">
        <v>77</v>
      </c>
      <c r="AF1" t="s">
        <v>78</v>
      </c>
      <c r="AG1" t="s">
        <v>79</v>
      </c>
      <c r="AH1" t="s">
        <v>80</v>
      </c>
      <c r="AI1" t="s">
        <v>81</v>
      </c>
      <c r="AJ1" t="s">
        <v>101</v>
      </c>
      <c r="AK1" t="s">
        <v>102</v>
      </c>
      <c r="AL1" t="s">
        <v>103</v>
      </c>
      <c r="AM1" t="s">
        <v>104</v>
      </c>
      <c r="AN1" t="s">
        <v>105</v>
      </c>
      <c r="AO1" t="s">
        <v>106</v>
      </c>
      <c r="AP1" t="s">
        <v>46</v>
      </c>
      <c r="AQ1" t="s">
        <v>47</v>
      </c>
      <c r="AR1" t="s">
        <v>48</v>
      </c>
      <c r="AS1" t="s">
        <v>49</v>
      </c>
      <c r="AT1" t="s">
        <v>50</v>
      </c>
      <c r="AU1" t="s">
        <v>51</v>
      </c>
      <c r="AV1" t="s">
        <v>52</v>
      </c>
      <c r="AW1" t="s">
        <v>53</v>
      </c>
      <c r="AX1" t="s">
        <v>54</v>
      </c>
      <c r="AY1" t="s">
        <v>55</v>
      </c>
      <c r="AZ1" t="s">
        <v>56</v>
      </c>
      <c r="BA1" t="s">
        <v>57</v>
      </c>
      <c r="BB1" t="s">
        <v>58</v>
      </c>
      <c r="BC1" t="s">
        <v>82</v>
      </c>
      <c r="BD1" t="s">
        <v>75</v>
      </c>
      <c r="BE1" t="s">
        <v>76</v>
      </c>
      <c r="BF1" t="s">
        <v>68</v>
      </c>
      <c r="BG1" t="s">
        <v>100</v>
      </c>
    </row>
    <row r="2" spans="1:59">
      <c r="A2" t="s">
        <v>107</v>
      </c>
      <c r="B2" t="s">
        <v>108</v>
      </c>
      <c r="D2" t="s">
        <v>64</v>
      </c>
      <c r="E2" t="s">
        <v>59</v>
      </c>
      <c r="F2" t="s">
        <v>60</v>
      </c>
      <c r="G2">
        <v>30000</v>
      </c>
      <c r="H2">
        <v>0.5</v>
      </c>
      <c r="I2">
        <v>0.5</v>
      </c>
      <c r="J2">
        <v>0</v>
      </c>
      <c r="K2">
        <v>1</v>
      </c>
      <c r="L2">
        <v>20000000</v>
      </c>
      <c r="M2">
        <v>24</v>
      </c>
      <c r="N2">
        <v>24</v>
      </c>
      <c r="O2">
        <v>24</v>
      </c>
      <c r="P2">
        <v>0</v>
      </c>
      <c r="Q2" t="s">
        <v>61</v>
      </c>
      <c r="R2">
        <v>99980219147132</v>
      </c>
      <c r="S2">
        <v>9999101</v>
      </c>
      <c r="T2">
        <v>99980219147132</v>
      </c>
      <c r="U2">
        <v>9999101</v>
      </c>
      <c r="V2" t="s">
        <v>74</v>
      </c>
      <c r="W2">
        <v>63</v>
      </c>
      <c r="X2">
        <v>9999102</v>
      </c>
      <c r="Y2">
        <v>9999103</v>
      </c>
      <c r="Z2">
        <v>19998205</v>
      </c>
      <c r="AA2">
        <v>9999101</v>
      </c>
      <c r="AB2">
        <v>2</v>
      </c>
      <c r="AC2">
        <v>1</v>
      </c>
      <c r="AD2">
        <v>33.4069</v>
      </c>
      <c r="AE2">
        <v>799928200</v>
      </c>
      <c r="AI2" t="s">
        <v>109</v>
      </c>
      <c r="AP2">
        <v>292554254</v>
      </c>
      <c r="AQ2">
        <v>0</v>
      </c>
      <c r="AR2">
        <v>2956875</v>
      </c>
      <c r="AS2">
        <v>292554254</v>
      </c>
      <c r="AT2">
        <v>295511129</v>
      </c>
      <c r="AU2">
        <v>9751808</v>
      </c>
      <c r="AV2">
        <v>0</v>
      </c>
      <c r="AW2">
        <v>98562</v>
      </c>
      <c r="AX2">
        <v>9751808</v>
      </c>
      <c r="AY2">
        <v>9850370</v>
      </c>
      <c r="AZ2">
        <v>35.176000000000002</v>
      </c>
      <c r="BA2">
        <v>12.363799999999999</v>
      </c>
      <c r="BB2">
        <v>6796.85</v>
      </c>
      <c r="BD2">
        <v>2022</v>
      </c>
      <c r="BE2">
        <v>1978</v>
      </c>
      <c r="BF2" t="str">
        <f>"u="&amp;(H2+I2)&amp;"%, k=2x10^"&amp;LOG10(L2/2)</f>
        <v>u=1%, k=2x10^7</v>
      </c>
      <c r="BG2">
        <f>IF(AH2="",0,LEFT(AH2,IF(ISNUMBER(FIND(" ",AH2)),FIND(" ",AH2)-1,LEN(AH2))))</f>
        <v>0</v>
      </c>
    </row>
    <row r="3" spans="1:59">
      <c r="A3" t="s">
        <v>110</v>
      </c>
      <c r="B3" t="s">
        <v>108</v>
      </c>
      <c r="D3" t="s">
        <v>64</v>
      </c>
      <c r="E3" t="s">
        <v>59</v>
      </c>
      <c r="F3" t="s">
        <v>60</v>
      </c>
      <c r="G3">
        <v>30000</v>
      </c>
      <c r="H3">
        <v>0.5</v>
      </c>
      <c r="I3">
        <v>0.5</v>
      </c>
      <c r="J3">
        <v>0</v>
      </c>
      <c r="K3">
        <v>1</v>
      </c>
      <c r="L3">
        <v>20000000</v>
      </c>
      <c r="M3">
        <v>48</v>
      </c>
      <c r="N3">
        <v>48</v>
      </c>
      <c r="O3">
        <v>48</v>
      </c>
      <c r="P3">
        <v>0</v>
      </c>
      <c r="Q3" t="s">
        <v>61</v>
      </c>
      <c r="R3">
        <v>100003174318498</v>
      </c>
      <c r="S3">
        <v>9998730</v>
      </c>
      <c r="T3">
        <v>100003174318498</v>
      </c>
      <c r="U3">
        <v>9998730</v>
      </c>
      <c r="V3" t="s">
        <v>74</v>
      </c>
      <c r="W3">
        <v>59</v>
      </c>
      <c r="X3">
        <v>9998731</v>
      </c>
      <c r="Y3">
        <v>9998732</v>
      </c>
      <c r="Z3">
        <v>19997463</v>
      </c>
      <c r="AA3">
        <v>9998730</v>
      </c>
      <c r="AB3">
        <v>2</v>
      </c>
      <c r="AC3">
        <v>1</v>
      </c>
      <c r="AD3">
        <v>33.324599999999997</v>
      </c>
      <c r="AE3">
        <v>799898520</v>
      </c>
      <c r="AI3" t="s">
        <v>111</v>
      </c>
      <c r="AP3">
        <v>553315717</v>
      </c>
      <c r="AQ3">
        <v>0</v>
      </c>
      <c r="AR3">
        <v>5589089</v>
      </c>
      <c r="AS3">
        <v>553315717</v>
      </c>
      <c r="AT3">
        <v>558904806</v>
      </c>
      <c r="AU3">
        <v>18443857</v>
      </c>
      <c r="AV3">
        <v>0</v>
      </c>
      <c r="AW3">
        <v>186302</v>
      </c>
      <c r="AX3">
        <v>18443857</v>
      </c>
      <c r="AY3">
        <v>18630160</v>
      </c>
      <c r="AZ3">
        <v>36.729100000000003</v>
      </c>
      <c r="BA3">
        <v>13.075799999999999</v>
      </c>
      <c r="BB3">
        <v>7185.24</v>
      </c>
      <c r="BD3">
        <v>2042</v>
      </c>
      <c r="BE3">
        <v>1528</v>
      </c>
      <c r="BF3" t="str">
        <f t="shared" ref="BF3:BF66" si="0">"u="&amp;(H3+I3)&amp;"%, k=2x10^"&amp;LOG10(L3/2)</f>
        <v>u=1%, k=2x10^7</v>
      </c>
      <c r="BG3">
        <f t="shared" ref="BG3:BG66" si="1">IF(AH3="",0,LEFT(AH3,IF(ISNUMBER(FIND(" ",AH3)),FIND(" ",AH3)-1,LEN(AH3))))</f>
        <v>0</v>
      </c>
    </row>
    <row r="4" spans="1:59">
      <c r="A4" t="s">
        <v>112</v>
      </c>
      <c r="B4" t="s">
        <v>108</v>
      </c>
      <c r="D4" t="s">
        <v>64</v>
      </c>
      <c r="E4" t="s">
        <v>59</v>
      </c>
      <c r="F4" t="s">
        <v>60</v>
      </c>
      <c r="G4">
        <v>30000</v>
      </c>
      <c r="H4">
        <v>0.5</v>
      </c>
      <c r="I4">
        <v>0.5</v>
      </c>
      <c r="J4">
        <v>0</v>
      </c>
      <c r="K4">
        <v>1</v>
      </c>
      <c r="L4">
        <v>20000000</v>
      </c>
      <c r="M4">
        <v>96</v>
      </c>
      <c r="N4">
        <v>96</v>
      </c>
      <c r="O4">
        <v>96</v>
      </c>
      <c r="P4">
        <v>0</v>
      </c>
      <c r="Q4" t="s">
        <v>61</v>
      </c>
      <c r="R4">
        <v>99994041774550</v>
      </c>
      <c r="S4">
        <v>9999102</v>
      </c>
      <c r="T4">
        <v>99994041774550</v>
      </c>
      <c r="U4">
        <v>9999102</v>
      </c>
      <c r="V4" t="s">
        <v>74</v>
      </c>
      <c r="W4">
        <v>62</v>
      </c>
      <c r="X4">
        <v>9999103</v>
      </c>
      <c r="Y4">
        <v>9999104</v>
      </c>
      <c r="Z4">
        <v>19998207</v>
      </c>
      <c r="AA4">
        <v>9999102</v>
      </c>
      <c r="AB4">
        <v>2</v>
      </c>
      <c r="AC4">
        <v>1</v>
      </c>
      <c r="AD4">
        <v>33.3367</v>
      </c>
      <c r="AE4">
        <v>799928280</v>
      </c>
      <c r="AI4" t="s">
        <v>113</v>
      </c>
      <c r="AP4">
        <v>1226744798</v>
      </c>
      <c r="AQ4">
        <v>0</v>
      </c>
      <c r="AR4">
        <v>12389126</v>
      </c>
      <c r="AS4">
        <v>1226744798</v>
      </c>
      <c r="AT4">
        <v>1239133924</v>
      </c>
      <c r="AU4">
        <v>40891493</v>
      </c>
      <c r="AV4">
        <v>0</v>
      </c>
      <c r="AW4">
        <v>412970</v>
      </c>
      <c r="AX4">
        <v>40891493</v>
      </c>
      <c r="AY4">
        <v>41304464</v>
      </c>
      <c r="AZ4">
        <v>38.339199999999998</v>
      </c>
      <c r="BA4">
        <v>15.328799999999999</v>
      </c>
      <c r="BB4">
        <v>6468.86</v>
      </c>
      <c r="BD4">
        <v>2085</v>
      </c>
      <c r="BE4">
        <v>1247</v>
      </c>
      <c r="BF4" t="str">
        <f t="shared" si="0"/>
        <v>u=1%, k=2x10^7</v>
      </c>
      <c r="BG4">
        <f t="shared" si="1"/>
        <v>0</v>
      </c>
    </row>
    <row r="5" spans="1:59">
      <c r="A5" t="s">
        <v>114</v>
      </c>
      <c r="B5" t="s">
        <v>108</v>
      </c>
      <c r="D5" t="s">
        <v>64</v>
      </c>
      <c r="E5" t="s">
        <v>59</v>
      </c>
      <c r="F5" t="s">
        <v>60</v>
      </c>
      <c r="G5">
        <v>30000</v>
      </c>
      <c r="H5">
        <v>0.5</v>
      </c>
      <c r="I5">
        <v>0.5</v>
      </c>
      <c r="J5">
        <v>0</v>
      </c>
      <c r="K5">
        <v>1</v>
      </c>
      <c r="L5">
        <v>20000000</v>
      </c>
      <c r="M5">
        <v>144</v>
      </c>
      <c r="N5">
        <v>144</v>
      </c>
      <c r="O5">
        <v>144</v>
      </c>
      <c r="P5">
        <v>0</v>
      </c>
      <c r="Q5" t="s">
        <v>61</v>
      </c>
      <c r="R5">
        <v>99995385549048</v>
      </c>
      <c r="S5">
        <v>9998448</v>
      </c>
      <c r="T5">
        <v>99995385549048</v>
      </c>
      <c r="U5">
        <v>9998448</v>
      </c>
      <c r="V5" t="s">
        <v>74</v>
      </c>
      <c r="W5">
        <v>60</v>
      </c>
      <c r="X5">
        <v>9998449</v>
      </c>
      <c r="Y5">
        <v>9998450</v>
      </c>
      <c r="Z5">
        <v>19996899</v>
      </c>
      <c r="AA5">
        <v>9998448</v>
      </c>
      <c r="AB5">
        <v>2</v>
      </c>
      <c r="AC5">
        <v>1</v>
      </c>
      <c r="AD5">
        <v>32.689799999999998</v>
      </c>
      <c r="AE5">
        <v>799875960</v>
      </c>
      <c r="AI5" t="s">
        <v>115</v>
      </c>
      <c r="AP5">
        <v>1853292340</v>
      </c>
      <c r="AQ5">
        <v>0</v>
      </c>
      <c r="AR5">
        <v>18714985</v>
      </c>
      <c r="AS5">
        <v>1853292340</v>
      </c>
      <c r="AT5">
        <v>1872007325</v>
      </c>
      <c r="AU5">
        <v>61776411</v>
      </c>
      <c r="AV5">
        <v>0</v>
      </c>
      <c r="AW5">
        <v>623832</v>
      </c>
      <c r="AX5">
        <v>61776411</v>
      </c>
      <c r="AY5">
        <v>62400244</v>
      </c>
      <c r="AZ5">
        <v>38.735599999999998</v>
      </c>
      <c r="BA5">
        <v>15.777100000000001</v>
      </c>
      <c r="BB5">
        <v>6420.89</v>
      </c>
      <c r="BD5">
        <v>2109</v>
      </c>
      <c r="BE5">
        <v>892</v>
      </c>
      <c r="BF5" t="str">
        <f t="shared" si="0"/>
        <v>u=1%, k=2x10^7</v>
      </c>
      <c r="BG5">
        <f t="shared" si="1"/>
        <v>0</v>
      </c>
    </row>
    <row r="6" spans="1:59">
      <c r="A6" t="s">
        <v>116</v>
      </c>
      <c r="B6" t="s">
        <v>108</v>
      </c>
      <c r="D6" t="s">
        <v>64</v>
      </c>
      <c r="E6" t="s">
        <v>59</v>
      </c>
      <c r="F6" t="s">
        <v>60</v>
      </c>
      <c r="G6">
        <v>30000</v>
      </c>
      <c r="H6">
        <v>0.5</v>
      </c>
      <c r="I6">
        <v>0.5</v>
      </c>
      <c r="J6">
        <v>0</v>
      </c>
      <c r="K6">
        <v>1</v>
      </c>
      <c r="L6">
        <v>20000000</v>
      </c>
      <c r="M6">
        <v>190</v>
      </c>
      <c r="N6">
        <v>190</v>
      </c>
      <c r="O6">
        <v>190</v>
      </c>
      <c r="P6">
        <v>0</v>
      </c>
      <c r="Q6" t="s">
        <v>61</v>
      </c>
      <c r="R6">
        <v>100014157721068</v>
      </c>
      <c r="S6">
        <v>10000550</v>
      </c>
      <c r="T6">
        <v>100014157721068</v>
      </c>
      <c r="U6">
        <v>10000550</v>
      </c>
      <c r="V6" t="s">
        <v>74</v>
      </c>
      <c r="W6">
        <v>65</v>
      </c>
      <c r="X6">
        <v>10000551</v>
      </c>
      <c r="Y6">
        <v>10000552</v>
      </c>
      <c r="Z6">
        <v>20001103</v>
      </c>
      <c r="AA6">
        <v>10000550</v>
      </c>
      <c r="AB6">
        <v>2</v>
      </c>
      <c r="AC6">
        <v>1</v>
      </c>
      <c r="AD6">
        <v>33.039499999999997</v>
      </c>
      <c r="AE6">
        <v>800044120</v>
      </c>
      <c r="AI6" t="s">
        <v>117</v>
      </c>
      <c r="AP6">
        <v>2450277379</v>
      </c>
      <c r="AQ6">
        <v>0</v>
      </c>
      <c r="AR6">
        <v>24751140</v>
      </c>
      <c r="AS6">
        <v>2450277379</v>
      </c>
      <c r="AT6">
        <v>2475028519</v>
      </c>
      <c r="AU6">
        <v>81675912</v>
      </c>
      <c r="AV6">
        <v>0</v>
      </c>
      <c r="AW6">
        <v>825038</v>
      </c>
      <c r="AX6">
        <v>81675912</v>
      </c>
      <c r="AY6">
        <v>82500950</v>
      </c>
      <c r="AZ6">
        <v>39.0182</v>
      </c>
      <c r="BA6">
        <v>16.148299999999999</v>
      </c>
      <c r="BB6">
        <v>6405.93</v>
      </c>
      <c r="BD6">
        <v>2145</v>
      </c>
      <c r="BE6">
        <v>1015</v>
      </c>
      <c r="BF6" t="str">
        <f t="shared" si="0"/>
        <v>u=1%, k=2x10^7</v>
      </c>
      <c r="BG6">
        <f t="shared" si="1"/>
        <v>0</v>
      </c>
    </row>
    <row r="7" spans="1:59">
      <c r="A7" t="s">
        <v>118</v>
      </c>
      <c r="B7" t="s">
        <v>119</v>
      </c>
      <c r="D7" t="s">
        <v>64</v>
      </c>
      <c r="E7" t="s">
        <v>59</v>
      </c>
      <c r="F7" t="s">
        <v>60</v>
      </c>
      <c r="G7">
        <v>30000</v>
      </c>
      <c r="H7">
        <v>0.5</v>
      </c>
      <c r="I7">
        <v>0.5</v>
      </c>
      <c r="J7">
        <v>0</v>
      </c>
      <c r="K7">
        <v>1</v>
      </c>
      <c r="L7">
        <v>20000000</v>
      </c>
      <c r="M7">
        <v>24</v>
      </c>
      <c r="N7">
        <v>24</v>
      </c>
      <c r="O7">
        <v>24</v>
      </c>
      <c r="P7">
        <v>0</v>
      </c>
      <c r="Q7" t="s">
        <v>61</v>
      </c>
      <c r="R7">
        <v>99979808019076</v>
      </c>
      <c r="S7">
        <v>10000421</v>
      </c>
      <c r="T7">
        <v>99979808019076</v>
      </c>
      <c r="U7">
        <v>10000421</v>
      </c>
      <c r="V7" t="s">
        <v>74</v>
      </c>
      <c r="W7">
        <v>60</v>
      </c>
      <c r="X7">
        <v>10000421</v>
      </c>
      <c r="Y7">
        <v>10000422</v>
      </c>
      <c r="Z7">
        <v>20000843</v>
      </c>
      <c r="AA7">
        <v>10000421</v>
      </c>
      <c r="AB7">
        <v>2</v>
      </c>
      <c r="AC7">
        <v>1</v>
      </c>
      <c r="AD7">
        <v>30.924299999999999</v>
      </c>
      <c r="AE7">
        <v>800033720</v>
      </c>
      <c r="AI7" t="s">
        <v>120</v>
      </c>
      <c r="AP7">
        <v>295598195</v>
      </c>
      <c r="AQ7">
        <v>0</v>
      </c>
      <c r="AR7">
        <v>2990736</v>
      </c>
      <c r="AS7">
        <v>295598195</v>
      </c>
      <c r="AT7">
        <v>298588931</v>
      </c>
      <c r="AU7">
        <v>9853273</v>
      </c>
      <c r="AV7">
        <v>0</v>
      </c>
      <c r="AW7">
        <v>99691</v>
      </c>
      <c r="AX7">
        <v>9853273</v>
      </c>
      <c r="AY7">
        <v>9952964</v>
      </c>
      <c r="AZ7">
        <v>36.816499999999998</v>
      </c>
      <c r="BA7">
        <v>13.4002</v>
      </c>
      <c r="BB7">
        <v>6726.71</v>
      </c>
      <c r="BD7">
        <v>2021</v>
      </c>
      <c r="BE7">
        <v>1756</v>
      </c>
      <c r="BF7" t="str">
        <f t="shared" si="0"/>
        <v>u=1%, k=2x10^7</v>
      </c>
      <c r="BG7">
        <f t="shared" si="1"/>
        <v>0</v>
      </c>
    </row>
    <row r="8" spans="1:59">
      <c r="A8" t="s">
        <v>121</v>
      </c>
      <c r="B8" t="s">
        <v>119</v>
      </c>
      <c r="D8" t="s">
        <v>64</v>
      </c>
      <c r="E8" t="s">
        <v>59</v>
      </c>
      <c r="F8" t="s">
        <v>60</v>
      </c>
      <c r="G8">
        <v>30000</v>
      </c>
      <c r="H8">
        <v>0.5</v>
      </c>
      <c r="I8">
        <v>0.5</v>
      </c>
      <c r="J8">
        <v>0</v>
      </c>
      <c r="K8">
        <v>1</v>
      </c>
      <c r="L8">
        <v>20000000</v>
      </c>
      <c r="M8">
        <v>48</v>
      </c>
      <c r="N8">
        <v>48</v>
      </c>
      <c r="O8">
        <v>48</v>
      </c>
      <c r="P8">
        <v>0</v>
      </c>
      <c r="Q8" t="s">
        <v>61</v>
      </c>
      <c r="R8">
        <v>99999950291963</v>
      </c>
      <c r="S8">
        <v>10001357</v>
      </c>
      <c r="T8">
        <v>99999950291963</v>
      </c>
      <c r="U8">
        <v>10001357</v>
      </c>
      <c r="V8" t="s">
        <v>74</v>
      </c>
      <c r="W8">
        <v>60</v>
      </c>
      <c r="X8">
        <v>10001357</v>
      </c>
      <c r="Y8">
        <v>10001358</v>
      </c>
      <c r="Z8">
        <v>20002715</v>
      </c>
      <c r="AA8">
        <v>10001357</v>
      </c>
      <c r="AB8">
        <v>2</v>
      </c>
      <c r="AC8">
        <v>1</v>
      </c>
      <c r="AD8">
        <v>30.9954</v>
      </c>
      <c r="AE8">
        <v>800108600</v>
      </c>
      <c r="AI8" t="s">
        <v>122</v>
      </c>
      <c r="AP8">
        <v>557249077</v>
      </c>
      <c r="AQ8">
        <v>0</v>
      </c>
      <c r="AR8">
        <v>5631653</v>
      </c>
      <c r="AS8">
        <v>557249077</v>
      </c>
      <c r="AT8">
        <v>562880730</v>
      </c>
      <c r="AU8">
        <v>18574969</v>
      </c>
      <c r="AV8">
        <v>0</v>
      </c>
      <c r="AW8">
        <v>187721</v>
      </c>
      <c r="AX8">
        <v>18574969</v>
      </c>
      <c r="AY8">
        <v>18762691</v>
      </c>
      <c r="AZ8">
        <v>37.8919</v>
      </c>
      <c r="BA8">
        <v>13.9034</v>
      </c>
      <c r="BB8">
        <v>7134.9</v>
      </c>
      <c r="BD8">
        <v>2027</v>
      </c>
      <c r="BE8">
        <v>1352</v>
      </c>
      <c r="BF8" t="str">
        <f t="shared" si="0"/>
        <v>u=1%, k=2x10^7</v>
      </c>
      <c r="BG8">
        <f t="shared" si="1"/>
        <v>0</v>
      </c>
    </row>
    <row r="9" spans="1:59">
      <c r="A9" t="s">
        <v>123</v>
      </c>
      <c r="B9" t="s">
        <v>119</v>
      </c>
      <c r="D9" t="s">
        <v>64</v>
      </c>
      <c r="E9" t="s">
        <v>59</v>
      </c>
      <c r="F9" t="s">
        <v>60</v>
      </c>
      <c r="G9">
        <v>30000</v>
      </c>
      <c r="H9">
        <v>0.5</v>
      </c>
      <c r="I9">
        <v>0.5</v>
      </c>
      <c r="J9">
        <v>0</v>
      </c>
      <c r="K9">
        <v>1</v>
      </c>
      <c r="L9">
        <v>20000000</v>
      </c>
      <c r="M9">
        <v>96</v>
      </c>
      <c r="N9">
        <v>96</v>
      </c>
      <c r="O9">
        <v>96</v>
      </c>
      <c r="P9">
        <v>0</v>
      </c>
      <c r="Q9" t="s">
        <v>61</v>
      </c>
      <c r="R9">
        <v>99988015998376</v>
      </c>
      <c r="S9">
        <v>9998724</v>
      </c>
      <c r="T9">
        <v>99988015998376</v>
      </c>
      <c r="U9">
        <v>9998724</v>
      </c>
      <c r="V9" t="s">
        <v>74</v>
      </c>
      <c r="W9">
        <v>60</v>
      </c>
      <c r="X9">
        <v>9998724</v>
      </c>
      <c r="Y9">
        <v>9998725</v>
      </c>
      <c r="Z9">
        <v>19997449</v>
      </c>
      <c r="AA9">
        <v>9998724</v>
      </c>
      <c r="AB9">
        <v>2</v>
      </c>
      <c r="AC9">
        <v>1</v>
      </c>
      <c r="AD9">
        <v>31.386299999999999</v>
      </c>
      <c r="AE9">
        <v>799897960</v>
      </c>
      <c r="AI9" t="s">
        <v>124</v>
      </c>
      <c r="AP9">
        <v>1255229908</v>
      </c>
      <c r="AQ9">
        <v>0</v>
      </c>
      <c r="AR9">
        <v>12676464</v>
      </c>
      <c r="AS9">
        <v>1255229908</v>
      </c>
      <c r="AT9">
        <v>1267906372</v>
      </c>
      <c r="AU9">
        <v>41840996</v>
      </c>
      <c r="AV9">
        <v>0</v>
      </c>
      <c r="AW9">
        <v>422548</v>
      </c>
      <c r="AX9">
        <v>41840996</v>
      </c>
      <c r="AY9">
        <v>42263545</v>
      </c>
      <c r="AZ9">
        <v>38.763199999999998</v>
      </c>
      <c r="BA9">
        <v>15.878</v>
      </c>
      <c r="BB9">
        <v>6322.34</v>
      </c>
      <c r="BD9">
        <v>2045</v>
      </c>
      <c r="BE9">
        <v>860</v>
      </c>
      <c r="BF9" t="str">
        <f t="shared" si="0"/>
        <v>u=1%, k=2x10^7</v>
      </c>
      <c r="BG9">
        <f t="shared" si="1"/>
        <v>0</v>
      </c>
    </row>
    <row r="10" spans="1:59">
      <c r="A10" t="s">
        <v>125</v>
      </c>
      <c r="B10" t="s">
        <v>119</v>
      </c>
      <c r="D10" t="s">
        <v>64</v>
      </c>
      <c r="E10" t="s">
        <v>59</v>
      </c>
      <c r="F10" t="s">
        <v>60</v>
      </c>
      <c r="G10">
        <v>30000</v>
      </c>
      <c r="H10">
        <v>0.5</v>
      </c>
      <c r="I10">
        <v>0.5</v>
      </c>
      <c r="J10">
        <v>0</v>
      </c>
      <c r="K10">
        <v>1</v>
      </c>
      <c r="L10">
        <v>20000000</v>
      </c>
      <c r="M10">
        <v>144</v>
      </c>
      <c r="N10">
        <v>144</v>
      </c>
      <c r="O10">
        <v>144</v>
      </c>
      <c r="P10">
        <v>0</v>
      </c>
      <c r="Q10" t="s">
        <v>61</v>
      </c>
      <c r="R10">
        <v>99981025677302</v>
      </c>
      <c r="S10">
        <v>9996831</v>
      </c>
      <c r="T10">
        <v>99981025677302</v>
      </c>
      <c r="U10">
        <v>9996831</v>
      </c>
      <c r="V10" t="s">
        <v>74</v>
      </c>
      <c r="W10">
        <v>64</v>
      </c>
      <c r="X10">
        <v>9996831</v>
      </c>
      <c r="Y10">
        <v>9996832</v>
      </c>
      <c r="Z10">
        <v>19993663</v>
      </c>
      <c r="AA10">
        <v>9996831</v>
      </c>
      <c r="AB10">
        <v>2</v>
      </c>
      <c r="AC10">
        <v>1</v>
      </c>
      <c r="AD10">
        <v>31.285</v>
      </c>
      <c r="AE10">
        <v>799746520</v>
      </c>
      <c r="AI10" t="s">
        <v>126</v>
      </c>
      <c r="AP10">
        <v>1895927679</v>
      </c>
      <c r="AQ10">
        <v>0</v>
      </c>
      <c r="AR10">
        <v>19156337</v>
      </c>
      <c r="AS10">
        <v>1895927679</v>
      </c>
      <c r="AT10">
        <v>1915084016</v>
      </c>
      <c r="AU10">
        <v>63197589</v>
      </c>
      <c r="AV10">
        <v>0</v>
      </c>
      <c r="AW10">
        <v>638544</v>
      </c>
      <c r="AX10">
        <v>63197589</v>
      </c>
      <c r="AY10">
        <v>63836133</v>
      </c>
      <c r="AZ10">
        <v>39.302799999999998</v>
      </c>
      <c r="BA10">
        <v>16.1096</v>
      </c>
      <c r="BB10">
        <v>6277.46</v>
      </c>
      <c r="BD10">
        <v>2062</v>
      </c>
      <c r="BE10">
        <v>498</v>
      </c>
      <c r="BF10" t="str">
        <f t="shared" si="0"/>
        <v>u=1%, k=2x10^7</v>
      </c>
      <c r="BG10">
        <f t="shared" si="1"/>
        <v>0</v>
      </c>
    </row>
    <row r="11" spans="1:59">
      <c r="A11" t="s">
        <v>127</v>
      </c>
      <c r="B11" t="s">
        <v>119</v>
      </c>
      <c r="D11" t="s">
        <v>64</v>
      </c>
      <c r="E11" t="s">
        <v>59</v>
      </c>
      <c r="F11" t="s">
        <v>60</v>
      </c>
      <c r="G11">
        <v>30000</v>
      </c>
      <c r="H11">
        <v>0.5</v>
      </c>
      <c r="I11">
        <v>0.5</v>
      </c>
      <c r="J11">
        <v>0</v>
      </c>
      <c r="K11">
        <v>1</v>
      </c>
      <c r="L11">
        <v>20000000</v>
      </c>
      <c r="M11">
        <v>190</v>
      </c>
      <c r="N11">
        <v>190</v>
      </c>
      <c r="O11">
        <v>190</v>
      </c>
      <c r="P11">
        <v>0</v>
      </c>
      <c r="Q11" t="s">
        <v>61</v>
      </c>
      <c r="R11">
        <v>100003446343990</v>
      </c>
      <c r="S11">
        <v>9998419</v>
      </c>
      <c r="T11">
        <v>100003446343990</v>
      </c>
      <c r="U11">
        <v>9998419</v>
      </c>
      <c r="V11" t="s">
        <v>74</v>
      </c>
      <c r="W11">
        <v>61</v>
      </c>
      <c r="X11">
        <v>9998419</v>
      </c>
      <c r="Y11">
        <v>9998420</v>
      </c>
      <c r="Z11">
        <v>19996839</v>
      </c>
      <c r="AA11">
        <v>9998419</v>
      </c>
      <c r="AB11">
        <v>2</v>
      </c>
      <c r="AC11">
        <v>1</v>
      </c>
      <c r="AD11">
        <v>32.056399999999996</v>
      </c>
      <c r="AE11">
        <v>799873560</v>
      </c>
      <c r="AI11" t="s">
        <v>128</v>
      </c>
      <c r="AP11">
        <v>2493871871</v>
      </c>
      <c r="AQ11">
        <v>0</v>
      </c>
      <c r="AR11">
        <v>25192558</v>
      </c>
      <c r="AS11">
        <v>2493871871</v>
      </c>
      <c r="AT11">
        <v>2519064429</v>
      </c>
      <c r="AU11">
        <v>83129062</v>
      </c>
      <c r="AV11">
        <v>0</v>
      </c>
      <c r="AW11">
        <v>839751</v>
      </c>
      <c r="AX11">
        <v>83129062</v>
      </c>
      <c r="AY11">
        <v>83968814</v>
      </c>
      <c r="AZ11">
        <v>39.426200000000001</v>
      </c>
      <c r="BA11">
        <v>16.241700000000002</v>
      </c>
      <c r="BB11">
        <v>6293.09</v>
      </c>
      <c r="BD11">
        <v>2078</v>
      </c>
      <c r="BE11">
        <v>502</v>
      </c>
      <c r="BF11" t="str">
        <f t="shared" si="0"/>
        <v>u=1%, k=2x10^7</v>
      </c>
      <c r="BG11">
        <f t="shared" si="1"/>
        <v>0</v>
      </c>
    </row>
    <row r="12" spans="1:59">
      <c r="A12" t="s">
        <v>129</v>
      </c>
      <c r="B12" t="s">
        <v>130</v>
      </c>
      <c r="D12" t="s">
        <v>64</v>
      </c>
      <c r="E12" t="s">
        <v>59</v>
      </c>
      <c r="F12" t="s">
        <v>60</v>
      </c>
      <c r="G12">
        <v>30000</v>
      </c>
      <c r="H12">
        <v>0.5</v>
      </c>
      <c r="I12">
        <v>0.5</v>
      </c>
      <c r="J12">
        <v>0</v>
      </c>
      <c r="K12">
        <v>1</v>
      </c>
      <c r="L12">
        <v>20000000</v>
      </c>
      <c r="M12">
        <v>24</v>
      </c>
      <c r="N12">
        <v>24</v>
      </c>
      <c r="O12">
        <v>24</v>
      </c>
      <c r="P12">
        <v>0</v>
      </c>
      <c r="Q12" t="s">
        <v>61</v>
      </c>
      <c r="R12">
        <v>100032898781113</v>
      </c>
      <c r="S12">
        <v>10002796</v>
      </c>
      <c r="T12">
        <v>100032898781113</v>
      </c>
      <c r="U12">
        <v>10002796</v>
      </c>
      <c r="V12" t="s">
        <v>74</v>
      </c>
      <c r="W12">
        <v>61</v>
      </c>
      <c r="X12">
        <v>6653731</v>
      </c>
      <c r="Y12">
        <v>3349066</v>
      </c>
      <c r="Z12">
        <v>10002797</v>
      </c>
      <c r="AA12">
        <v>10002796</v>
      </c>
      <c r="AB12">
        <v>1.5033399999999999</v>
      </c>
      <c r="AC12">
        <v>2.9867400000000002</v>
      </c>
      <c r="AD12">
        <v>29.925799999999999</v>
      </c>
      <c r="AE12">
        <v>640179008</v>
      </c>
      <c r="AI12" t="s">
        <v>131</v>
      </c>
      <c r="AP12">
        <v>350259773</v>
      </c>
      <c r="AQ12">
        <v>0</v>
      </c>
      <c r="AR12">
        <v>3537697</v>
      </c>
      <c r="AS12">
        <v>350259773</v>
      </c>
      <c r="AT12">
        <v>353797470</v>
      </c>
      <c r="AU12">
        <v>11675325</v>
      </c>
      <c r="AV12">
        <v>0</v>
      </c>
      <c r="AW12">
        <v>117923</v>
      </c>
      <c r="AX12">
        <v>11675325</v>
      </c>
      <c r="AY12">
        <v>11793249</v>
      </c>
      <c r="AZ12">
        <v>23.498899999999999</v>
      </c>
      <c r="BA12">
        <v>8.21218</v>
      </c>
      <c r="BB12">
        <v>5676.8</v>
      </c>
      <c r="BD12">
        <v>1768</v>
      </c>
      <c r="BE12">
        <v>1587</v>
      </c>
      <c r="BF12" t="str">
        <f t="shared" si="0"/>
        <v>u=1%, k=2x10^7</v>
      </c>
      <c r="BG12">
        <f t="shared" si="1"/>
        <v>0</v>
      </c>
    </row>
    <row r="13" spans="1:59">
      <c r="A13" t="s">
        <v>132</v>
      </c>
      <c r="B13" t="s">
        <v>130</v>
      </c>
      <c r="D13" t="s">
        <v>64</v>
      </c>
      <c r="E13" t="s">
        <v>59</v>
      </c>
      <c r="F13" t="s">
        <v>60</v>
      </c>
      <c r="G13">
        <v>30000</v>
      </c>
      <c r="H13">
        <v>0.5</v>
      </c>
      <c r="I13">
        <v>0.5</v>
      </c>
      <c r="J13">
        <v>0</v>
      </c>
      <c r="K13">
        <v>1</v>
      </c>
      <c r="L13">
        <v>20000000</v>
      </c>
      <c r="M13">
        <v>48</v>
      </c>
      <c r="N13">
        <v>48</v>
      </c>
      <c r="O13">
        <v>48</v>
      </c>
      <c r="P13">
        <v>0</v>
      </c>
      <c r="Q13" t="s">
        <v>61</v>
      </c>
      <c r="R13">
        <v>100003182628763</v>
      </c>
      <c r="S13">
        <v>10000868</v>
      </c>
      <c r="T13">
        <v>100003182628763</v>
      </c>
      <c r="U13">
        <v>10000868</v>
      </c>
      <c r="V13" t="s">
        <v>74</v>
      </c>
      <c r="W13">
        <v>59</v>
      </c>
      <c r="X13">
        <v>6640224</v>
      </c>
      <c r="Y13">
        <v>3360645</v>
      </c>
      <c r="Z13">
        <v>10000869</v>
      </c>
      <c r="AA13">
        <v>10000868</v>
      </c>
      <c r="AB13">
        <v>1.5061</v>
      </c>
      <c r="AC13">
        <v>2.9758800000000001</v>
      </c>
      <c r="AD13">
        <v>30.233799999999999</v>
      </c>
      <c r="AE13">
        <v>640055616</v>
      </c>
      <c r="AI13" t="s">
        <v>133</v>
      </c>
      <c r="AP13">
        <v>673311320</v>
      </c>
      <c r="AQ13">
        <v>0</v>
      </c>
      <c r="AR13">
        <v>6803376</v>
      </c>
      <c r="AS13">
        <v>673311320</v>
      </c>
      <c r="AT13">
        <v>680114696</v>
      </c>
      <c r="AU13">
        <v>22443710</v>
      </c>
      <c r="AV13">
        <v>0</v>
      </c>
      <c r="AW13">
        <v>226779</v>
      </c>
      <c r="AX13">
        <v>22443710</v>
      </c>
      <c r="AY13">
        <v>22670489</v>
      </c>
      <c r="AZ13">
        <v>25.171399999999998</v>
      </c>
      <c r="BA13">
        <v>8.7251999999999992</v>
      </c>
      <c r="BB13">
        <v>5905.03</v>
      </c>
      <c r="BD13">
        <v>1825</v>
      </c>
      <c r="BE13">
        <v>1085</v>
      </c>
      <c r="BF13" t="str">
        <f t="shared" si="0"/>
        <v>u=1%, k=2x10^7</v>
      </c>
      <c r="BG13">
        <f t="shared" si="1"/>
        <v>0</v>
      </c>
    </row>
    <row r="14" spans="1:59">
      <c r="A14" t="s">
        <v>134</v>
      </c>
      <c r="B14" t="s">
        <v>130</v>
      </c>
      <c r="D14" t="s">
        <v>64</v>
      </c>
      <c r="E14" t="s">
        <v>59</v>
      </c>
      <c r="F14" t="s">
        <v>60</v>
      </c>
      <c r="G14">
        <v>30000</v>
      </c>
      <c r="H14">
        <v>0.5</v>
      </c>
      <c r="I14">
        <v>0.5</v>
      </c>
      <c r="J14">
        <v>0</v>
      </c>
      <c r="K14">
        <v>1</v>
      </c>
      <c r="L14">
        <v>20000000</v>
      </c>
      <c r="M14">
        <v>96</v>
      </c>
      <c r="N14">
        <v>96</v>
      </c>
      <c r="O14">
        <v>96</v>
      </c>
      <c r="P14">
        <v>0</v>
      </c>
      <c r="Q14" t="s">
        <v>61</v>
      </c>
      <c r="R14">
        <v>100051799029462</v>
      </c>
      <c r="S14">
        <v>10003658</v>
      </c>
      <c r="T14">
        <v>100051799029462</v>
      </c>
      <c r="U14">
        <v>10003658</v>
      </c>
      <c r="V14" t="s">
        <v>74</v>
      </c>
      <c r="W14">
        <v>61</v>
      </c>
      <c r="X14">
        <v>6611444</v>
      </c>
      <c r="Y14">
        <v>3392215</v>
      </c>
      <c r="Z14">
        <v>10003659</v>
      </c>
      <c r="AA14">
        <v>10003658</v>
      </c>
      <c r="AB14">
        <v>1.51308</v>
      </c>
      <c r="AC14">
        <v>2.9489999999999998</v>
      </c>
      <c r="AD14">
        <v>31.366199999999999</v>
      </c>
      <c r="AE14">
        <v>640234176</v>
      </c>
      <c r="AI14" t="s">
        <v>135</v>
      </c>
      <c r="AP14">
        <v>1537968500</v>
      </c>
      <c r="AQ14">
        <v>0</v>
      </c>
      <c r="AR14">
        <v>15536613</v>
      </c>
      <c r="AS14">
        <v>1537968500</v>
      </c>
      <c r="AT14">
        <v>1553505113</v>
      </c>
      <c r="AU14">
        <v>51265616</v>
      </c>
      <c r="AV14">
        <v>0</v>
      </c>
      <c r="AW14">
        <v>517887</v>
      </c>
      <c r="AX14">
        <v>51265616</v>
      </c>
      <c r="AY14">
        <v>51783503</v>
      </c>
      <c r="AZ14">
        <v>26.031600000000001</v>
      </c>
      <c r="BA14">
        <v>10.011100000000001</v>
      </c>
      <c r="BB14">
        <v>5162.6400000000003</v>
      </c>
      <c r="BD14">
        <v>1971</v>
      </c>
      <c r="BE14">
        <v>762</v>
      </c>
      <c r="BF14" t="str">
        <f t="shared" si="0"/>
        <v>u=1%, k=2x10^7</v>
      </c>
      <c r="BG14">
        <f t="shared" si="1"/>
        <v>0</v>
      </c>
    </row>
    <row r="15" spans="1:59">
      <c r="A15" t="s">
        <v>136</v>
      </c>
      <c r="B15" t="s">
        <v>130</v>
      </c>
      <c r="D15" t="s">
        <v>64</v>
      </c>
      <c r="E15" t="s">
        <v>59</v>
      </c>
      <c r="F15" t="s">
        <v>60</v>
      </c>
      <c r="G15">
        <v>30000</v>
      </c>
      <c r="H15">
        <v>0.5</v>
      </c>
      <c r="I15">
        <v>0.5</v>
      </c>
      <c r="J15">
        <v>0</v>
      </c>
      <c r="K15">
        <v>1</v>
      </c>
      <c r="L15">
        <v>20000000</v>
      </c>
      <c r="M15">
        <v>144</v>
      </c>
      <c r="N15">
        <v>144</v>
      </c>
      <c r="O15">
        <v>144</v>
      </c>
      <c r="P15">
        <v>0</v>
      </c>
      <c r="Q15" t="s">
        <v>61</v>
      </c>
      <c r="R15">
        <v>99948009176665</v>
      </c>
      <c r="S15">
        <v>9996962</v>
      </c>
      <c r="T15">
        <v>99948009176665</v>
      </c>
      <c r="U15">
        <v>9996962</v>
      </c>
      <c r="V15" t="s">
        <v>74</v>
      </c>
      <c r="W15">
        <v>59</v>
      </c>
      <c r="X15">
        <v>6587141</v>
      </c>
      <c r="Y15">
        <v>3409822</v>
      </c>
      <c r="Z15">
        <v>9996963</v>
      </c>
      <c r="AA15">
        <v>9996962</v>
      </c>
      <c r="AB15">
        <v>1.5176499999999999</v>
      </c>
      <c r="AC15">
        <v>2.93181</v>
      </c>
      <c r="AD15">
        <v>29.894600000000001</v>
      </c>
      <c r="AE15">
        <v>639805632</v>
      </c>
      <c r="AI15" t="s">
        <v>137</v>
      </c>
      <c r="AP15">
        <v>2347558935</v>
      </c>
      <c r="AQ15">
        <v>0</v>
      </c>
      <c r="AR15">
        <v>23704962</v>
      </c>
      <c r="AS15">
        <v>2347558935</v>
      </c>
      <c r="AT15">
        <v>2371263897</v>
      </c>
      <c r="AU15">
        <v>78251964</v>
      </c>
      <c r="AV15">
        <v>0</v>
      </c>
      <c r="AW15">
        <v>790165</v>
      </c>
      <c r="AX15">
        <v>78251964</v>
      </c>
      <c r="AY15">
        <v>79042129</v>
      </c>
      <c r="AZ15">
        <v>26.2209</v>
      </c>
      <c r="BA15">
        <v>10.1379</v>
      </c>
      <c r="BB15">
        <v>5071.4399999999996</v>
      </c>
      <c r="BD15">
        <v>2115</v>
      </c>
      <c r="BE15">
        <v>451</v>
      </c>
      <c r="BF15" t="str">
        <f t="shared" si="0"/>
        <v>u=1%, k=2x10^7</v>
      </c>
      <c r="BG15">
        <f t="shared" si="1"/>
        <v>0</v>
      </c>
    </row>
    <row r="16" spans="1:59">
      <c r="A16" t="s">
        <v>138</v>
      </c>
      <c r="B16" t="s">
        <v>130</v>
      </c>
      <c r="D16" t="s">
        <v>64</v>
      </c>
      <c r="E16" t="s">
        <v>59</v>
      </c>
      <c r="F16" t="s">
        <v>60</v>
      </c>
      <c r="G16">
        <v>30000</v>
      </c>
      <c r="H16">
        <v>0.5</v>
      </c>
      <c r="I16">
        <v>0.5</v>
      </c>
      <c r="J16">
        <v>0</v>
      </c>
      <c r="K16">
        <v>1</v>
      </c>
      <c r="L16">
        <v>20000000</v>
      </c>
      <c r="M16">
        <v>190</v>
      </c>
      <c r="N16">
        <v>190</v>
      </c>
      <c r="O16">
        <v>190</v>
      </c>
      <c r="P16">
        <v>0</v>
      </c>
      <c r="Q16" t="s">
        <v>61</v>
      </c>
      <c r="R16">
        <v>99993474165908</v>
      </c>
      <c r="S16">
        <v>10001855</v>
      </c>
      <c r="T16">
        <v>99993474165908</v>
      </c>
      <c r="U16">
        <v>10001855</v>
      </c>
      <c r="V16" t="s">
        <v>74</v>
      </c>
      <c r="W16">
        <v>61</v>
      </c>
      <c r="X16">
        <v>6576539</v>
      </c>
      <c r="Y16">
        <v>3425317</v>
      </c>
      <c r="Z16">
        <v>10001856</v>
      </c>
      <c r="AA16">
        <v>10001855</v>
      </c>
      <c r="AB16">
        <v>1.52084</v>
      </c>
      <c r="AC16">
        <v>2.9199799999999998</v>
      </c>
      <c r="AD16">
        <v>31.5078</v>
      </c>
      <c r="AE16">
        <v>640118784</v>
      </c>
      <c r="AI16" t="s">
        <v>139</v>
      </c>
      <c r="AP16">
        <v>3114890466</v>
      </c>
      <c r="AQ16">
        <v>0</v>
      </c>
      <c r="AR16">
        <v>31468440</v>
      </c>
      <c r="AS16">
        <v>3114890466</v>
      </c>
      <c r="AT16">
        <v>3146358906</v>
      </c>
      <c r="AU16">
        <v>103829682</v>
      </c>
      <c r="AV16">
        <v>0</v>
      </c>
      <c r="AW16">
        <v>1048948</v>
      </c>
      <c r="AX16">
        <v>103829682</v>
      </c>
      <c r="AY16">
        <v>104878630</v>
      </c>
      <c r="AZ16">
        <v>26.232900000000001</v>
      </c>
      <c r="BA16">
        <v>10.152799999999999</v>
      </c>
      <c r="BB16">
        <v>5040.72</v>
      </c>
      <c r="BD16">
        <v>2248</v>
      </c>
      <c r="BE16">
        <v>495</v>
      </c>
      <c r="BF16" t="str">
        <f t="shared" si="0"/>
        <v>u=1%, k=2x10^7</v>
      </c>
      <c r="BG16">
        <f t="shared" si="1"/>
        <v>0</v>
      </c>
    </row>
    <row r="17" spans="1:59">
      <c r="A17" t="s">
        <v>140</v>
      </c>
      <c r="B17" t="s">
        <v>141</v>
      </c>
      <c r="D17" t="s">
        <v>64</v>
      </c>
      <c r="E17" t="s">
        <v>59</v>
      </c>
      <c r="F17" t="s">
        <v>60</v>
      </c>
      <c r="G17">
        <v>30000</v>
      </c>
      <c r="H17">
        <v>0.5</v>
      </c>
      <c r="I17">
        <v>0.5</v>
      </c>
      <c r="J17">
        <v>0</v>
      </c>
      <c r="K17">
        <v>1</v>
      </c>
      <c r="L17">
        <v>20000000</v>
      </c>
      <c r="M17">
        <v>24</v>
      </c>
      <c r="N17">
        <v>24</v>
      </c>
      <c r="O17">
        <v>24</v>
      </c>
      <c r="P17">
        <v>0</v>
      </c>
      <c r="Q17" t="s">
        <v>61</v>
      </c>
      <c r="R17">
        <v>100133407930881</v>
      </c>
      <c r="S17">
        <v>10014035</v>
      </c>
      <c r="T17">
        <v>100004585867945</v>
      </c>
      <c r="U17">
        <v>10001228</v>
      </c>
      <c r="V17" t="s">
        <v>142</v>
      </c>
      <c r="W17">
        <v>63</v>
      </c>
      <c r="X17">
        <v>6652853</v>
      </c>
      <c r="Y17">
        <v>3348378</v>
      </c>
      <c r="Z17">
        <v>10001231</v>
      </c>
      <c r="AA17">
        <v>10001228</v>
      </c>
      <c r="AB17">
        <v>1.5033000000000001</v>
      </c>
      <c r="AC17">
        <v>2.9868899999999998</v>
      </c>
      <c r="AD17">
        <v>32.576700000000002</v>
      </c>
      <c r="AE17">
        <v>400049240</v>
      </c>
      <c r="AI17" t="s">
        <v>143</v>
      </c>
      <c r="BD17">
        <v>1601</v>
      </c>
      <c r="BE17">
        <v>1373</v>
      </c>
      <c r="BF17" t="str">
        <f t="shared" si="0"/>
        <v>u=1%, k=2x10^7</v>
      </c>
      <c r="BG17">
        <f t="shared" si="1"/>
        <v>0</v>
      </c>
    </row>
    <row r="18" spans="1:59">
      <c r="A18" t="s">
        <v>144</v>
      </c>
      <c r="B18" t="s">
        <v>141</v>
      </c>
      <c r="D18" t="s">
        <v>64</v>
      </c>
      <c r="E18" t="s">
        <v>59</v>
      </c>
      <c r="F18" t="s">
        <v>60</v>
      </c>
      <c r="G18">
        <v>30000</v>
      </c>
      <c r="H18">
        <v>0.5</v>
      </c>
      <c r="I18">
        <v>0.5</v>
      </c>
      <c r="J18">
        <v>0</v>
      </c>
      <c r="K18">
        <v>1</v>
      </c>
      <c r="L18">
        <v>20000000</v>
      </c>
      <c r="M18">
        <v>48</v>
      </c>
      <c r="N18">
        <v>48</v>
      </c>
      <c r="O18">
        <v>48</v>
      </c>
      <c r="P18">
        <v>0</v>
      </c>
      <c r="Q18" t="s">
        <v>61</v>
      </c>
      <c r="R18">
        <v>100461267521877</v>
      </c>
      <c r="S18">
        <v>10046101</v>
      </c>
      <c r="T18">
        <v>100006698865116</v>
      </c>
      <c r="U18">
        <v>10000754</v>
      </c>
      <c r="V18" t="s">
        <v>142</v>
      </c>
      <c r="W18">
        <v>66</v>
      </c>
      <c r="X18">
        <v>6639620</v>
      </c>
      <c r="Y18">
        <v>3361137</v>
      </c>
      <c r="Z18">
        <v>10000757</v>
      </c>
      <c r="AA18">
        <v>10000754</v>
      </c>
      <c r="AB18">
        <v>1.5062199999999999</v>
      </c>
      <c r="AC18">
        <v>2.9754100000000001</v>
      </c>
      <c r="AD18">
        <v>32.445300000000003</v>
      </c>
      <c r="AE18">
        <v>400030280</v>
      </c>
      <c r="AI18" t="s">
        <v>145</v>
      </c>
      <c r="BD18">
        <v>1658</v>
      </c>
      <c r="BE18">
        <v>994</v>
      </c>
      <c r="BF18" t="str">
        <f t="shared" si="0"/>
        <v>u=1%, k=2x10^7</v>
      </c>
      <c r="BG18">
        <f t="shared" si="1"/>
        <v>0</v>
      </c>
    </row>
    <row r="19" spans="1:59">
      <c r="A19" t="s">
        <v>146</v>
      </c>
      <c r="B19" t="s">
        <v>141</v>
      </c>
      <c r="D19" t="s">
        <v>64</v>
      </c>
      <c r="E19" t="s">
        <v>59</v>
      </c>
      <c r="F19" t="s">
        <v>60</v>
      </c>
      <c r="G19">
        <v>30000</v>
      </c>
      <c r="H19">
        <v>0.5</v>
      </c>
      <c r="I19">
        <v>0.5</v>
      </c>
      <c r="J19">
        <v>0</v>
      </c>
      <c r="K19">
        <v>1</v>
      </c>
      <c r="L19">
        <v>20000000</v>
      </c>
      <c r="M19">
        <v>96</v>
      </c>
      <c r="N19">
        <v>96</v>
      </c>
      <c r="O19">
        <v>96</v>
      </c>
      <c r="P19">
        <v>0</v>
      </c>
      <c r="Q19" t="s">
        <v>61</v>
      </c>
      <c r="R19">
        <v>102099964193466</v>
      </c>
      <c r="S19">
        <v>10212501</v>
      </c>
      <c r="T19">
        <v>99961453286784</v>
      </c>
      <c r="U19">
        <v>9998704</v>
      </c>
      <c r="V19" t="s">
        <v>142</v>
      </c>
      <c r="W19">
        <v>67</v>
      </c>
      <c r="X19">
        <v>6608594</v>
      </c>
      <c r="Y19">
        <v>3390113</v>
      </c>
      <c r="Z19">
        <v>9998707</v>
      </c>
      <c r="AA19">
        <v>9998704</v>
      </c>
      <c r="AB19">
        <v>1.5129900000000001</v>
      </c>
      <c r="AC19">
        <v>2.94937</v>
      </c>
      <c r="AD19">
        <v>33.411999999999999</v>
      </c>
      <c r="AE19">
        <v>399948280</v>
      </c>
      <c r="AI19" t="s">
        <v>147</v>
      </c>
      <c r="BD19">
        <v>1807</v>
      </c>
      <c r="BE19">
        <v>682</v>
      </c>
      <c r="BF19" t="str">
        <f t="shared" si="0"/>
        <v>u=1%, k=2x10^7</v>
      </c>
      <c r="BG19">
        <f t="shared" si="1"/>
        <v>0</v>
      </c>
    </row>
    <row r="20" spans="1:59">
      <c r="A20" t="s">
        <v>148</v>
      </c>
      <c r="B20" t="s">
        <v>141</v>
      </c>
      <c r="D20" t="s">
        <v>64</v>
      </c>
      <c r="E20" t="s">
        <v>59</v>
      </c>
      <c r="F20" t="s">
        <v>60</v>
      </c>
      <c r="G20">
        <v>30000</v>
      </c>
      <c r="H20">
        <v>0.5</v>
      </c>
      <c r="I20">
        <v>0.5</v>
      </c>
      <c r="J20">
        <v>0</v>
      </c>
      <c r="K20">
        <v>1</v>
      </c>
      <c r="L20">
        <v>20000000</v>
      </c>
      <c r="M20">
        <v>144</v>
      </c>
      <c r="N20">
        <v>144</v>
      </c>
      <c r="O20">
        <v>144</v>
      </c>
      <c r="P20">
        <v>0</v>
      </c>
      <c r="Q20" t="s">
        <v>61</v>
      </c>
      <c r="R20">
        <v>104589488680686</v>
      </c>
      <c r="S20">
        <v>10457628</v>
      </c>
      <c r="T20">
        <v>100048738440980</v>
      </c>
      <c r="U20">
        <v>10002673</v>
      </c>
      <c r="V20" t="s">
        <v>142</v>
      </c>
      <c r="W20">
        <v>63</v>
      </c>
      <c r="X20">
        <v>6589089</v>
      </c>
      <c r="Y20">
        <v>3413587</v>
      </c>
      <c r="Z20">
        <v>10002676</v>
      </c>
      <c r="AA20">
        <v>10002673</v>
      </c>
      <c r="AB20">
        <v>1.51807</v>
      </c>
      <c r="AC20">
        <v>2.93025</v>
      </c>
      <c r="AD20">
        <v>31.706800000000001</v>
      </c>
      <c r="AE20">
        <v>400107040</v>
      </c>
      <c r="AI20" t="s">
        <v>149</v>
      </c>
      <c r="BD20">
        <v>1945</v>
      </c>
      <c r="BE20">
        <v>414</v>
      </c>
      <c r="BF20" t="str">
        <f t="shared" si="0"/>
        <v>u=1%, k=2x10^7</v>
      </c>
      <c r="BG20">
        <f t="shared" si="1"/>
        <v>0</v>
      </c>
    </row>
    <row r="21" spans="1:59">
      <c r="A21" t="s">
        <v>150</v>
      </c>
      <c r="B21" t="s">
        <v>141</v>
      </c>
      <c r="D21" t="s">
        <v>64</v>
      </c>
      <c r="E21" t="s">
        <v>59</v>
      </c>
      <c r="F21" t="s">
        <v>60</v>
      </c>
      <c r="G21">
        <v>30000</v>
      </c>
      <c r="H21">
        <v>0.5</v>
      </c>
      <c r="I21">
        <v>0.5</v>
      </c>
      <c r="J21">
        <v>0</v>
      </c>
      <c r="K21">
        <v>1</v>
      </c>
      <c r="L21">
        <v>20000000</v>
      </c>
      <c r="M21">
        <v>190</v>
      </c>
      <c r="N21">
        <v>190</v>
      </c>
      <c r="O21">
        <v>190</v>
      </c>
      <c r="P21">
        <v>0</v>
      </c>
      <c r="Q21" t="s">
        <v>61</v>
      </c>
      <c r="R21">
        <v>107551555702250</v>
      </c>
      <c r="S21">
        <v>10755149</v>
      </c>
      <c r="T21">
        <v>100002307867761</v>
      </c>
      <c r="U21">
        <v>10000519</v>
      </c>
      <c r="V21" t="s">
        <v>142</v>
      </c>
      <c r="W21">
        <v>57</v>
      </c>
      <c r="X21">
        <v>6579099</v>
      </c>
      <c r="Y21">
        <v>3421423</v>
      </c>
      <c r="Z21">
        <v>10000522</v>
      </c>
      <c r="AA21">
        <v>10000519</v>
      </c>
      <c r="AB21">
        <v>1.5200400000000001</v>
      </c>
      <c r="AC21">
        <v>2.9229099999999999</v>
      </c>
      <c r="AD21">
        <v>31.5136</v>
      </c>
      <c r="AE21">
        <v>400020880</v>
      </c>
      <c r="AI21" t="s">
        <v>151</v>
      </c>
      <c r="BD21">
        <v>2073</v>
      </c>
      <c r="BE21">
        <v>433</v>
      </c>
      <c r="BF21" t="str">
        <f t="shared" si="0"/>
        <v>u=1%, k=2x10^7</v>
      </c>
      <c r="BG21">
        <f t="shared" si="1"/>
        <v>0</v>
      </c>
    </row>
    <row r="22" spans="1:59">
      <c r="A22" t="s">
        <v>152</v>
      </c>
      <c r="B22" t="s">
        <v>153</v>
      </c>
      <c r="D22" t="s">
        <v>64</v>
      </c>
      <c r="E22" t="s">
        <v>59</v>
      </c>
      <c r="F22" t="s">
        <v>60</v>
      </c>
      <c r="G22">
        <v>30000</v>
      </c>
      <c r="H22">
        <v>0.5</v>
      </c>
      <c r="I22">
        <v>0.5</v>
      </c>
      <c r="J22">
        <v>0</v>
      </c>
      <c r="K22">
        <v>1</v>
      </c>
      <c r="L22">
        <v>20000000</v>
      </c>
      <c r="M22">
        <v>24</v>
      </c>
      <c r="N22">
        <v>24</v>
      </c>
      <c r="O22">
        <v>24</v>
      </c>
      <c r="P22">
        <v>0</v>
      </c>
      <c r="Q22" t="s">
        <v>61</v>
      </c>
      <c r="R22">
        <v>99986724933454</v>
      </c>
      <c r="S22">
        <v>9997488</v>
      </c>
      <c r="T22">
        <v>99986724933454</v>
      </c>
      <c r="U22">
        <v>9997488</v>
      </c>
      <c r="V22" t="s">
        <v>74</v>
      </c>
      <c r="W22">
        <v>59</v>
      </c>
      <c r="X22">
        <v>9997487</v>
      </c>
      <c r="Y22">
        <v>9997488</v>
      </c>
      <c r="Z22">
        <v>19994975</v>
      </c>
      <c r="AA22">
        <v>9997488</v>
      </c>
      <c r="AB22">
        <v>2</v>
      </c>
      <c r="AC22">
        <v>1</v>
      </c>
      <c r="AD22">
        <v>31.386800000000001</v>
      </c>
      <c r="AE22">
        <v>959758800</v>
      </c>
      <c r="AI22" t="s">
        <v>154</v>
      </c>
      <c r="AP22">
        <v>293926414</v>
      </c>
      <c r="AQ22">
        <v>0</v>
      </c>
      <c r="AR22">
        <v>2967817</v>
      </c>
      <c r="AS22">
        <v>293926414</v>
      </c>
      <c r="AT22">
        <v>296894231</v>
      </c>
      <c r="AU22">
        <v>9797547</v>
      </c>
      <c r="AV22">
        <v>0</v>
      </c>
      <c r="AW22">
        <v>98927</v>
      </c>
      <c r="AX22">
        <v>9797547</v>
      </c>
      <c r="AY22">
        <v>9896474</v>
      </c>
      <c r="AZ22">
        <v>37.061</v>
      </c>
      <c r="BA22">
        <v>13.602600000000001</v>
      </c>
      <c r="BB22">
        <v>6765.4</v>
      </c>
      <c r="BD22">
        <v>2021</v>
      </c>
      <c r="BE22">
        <v>1766</v>
      </c>
      <c r="BF22" t="str">
        <f t="shared" si="0"/>
        <v>u=1%, k=2x10^7</v>
      </c>
      <c r="BG22">
        <f t="shared" si="1"/>
        <v>0</v>
      </c>
    </row>
    <row r="23" spans="1:59">
      <c r="A23" t="s">
        <v>155</v>
      </c>
      <c r="B23" t="s">
        <v>153</v>
      </c>
      <c r="D23" t="s">
        <v>64</v>
      </c>
      <c r="E23" t="s">
        <v>59</v>
      </c>
      <c r="F23" t="s">
        <v>60</v>
      </c>
      <c r="G23">
        <v>30000</v>
      </c>
      <c r="H23">
        <v>0.5</v>
      </c>
      <c r="I23">
        <v>0.5</v>
      </c>
      <c r="J23">
        <v>0</v>
      </c>
      <c r="K23">
        <v>1</v>
      </c>
      <c r="L23">
        <v>20000000</v>
      </c>
      <c r="M23">
        <v>48</v>
      </c>
      <c r="N23">
        <v>48</v>
      </c>
      <c r="O23">
        <v>48</v>
      </c>
      <c r="P23">
        <v>0</v>
      </c>
      <c r="Q23" t="s">
        <v>61</v>
      </c>
      <c r="R23">
        <v>99979926531810</v>
      </c>
      <c r="S23">
        <v>9998715</v>
      </c>
      <c r="T23">
        <v>99979926531810</v>
      </c>
      <c r="U23">
        <v>9998715</v>
      </c>
      <c r="V23" t="s">
        <v>74</v>
      </c>
      <c r="W23">
        <v>58</v>
      </c>
      <c r="X23">
        <v>9998714</v>
      </c>
      <c r="Y23">
        <v>9998715</v>
      </c>
      <c r="Z23">
        <v>19997429</v>
      </c>
      <c r="AA23">
        <v>9998715</v>
      </c>
      <c r="AB23">
        <v>2</v>
      </c>
      <c r="AC23">
        <v>1</v>
      </c>
      <c r="AD23">
        <v>30.7837</v>
      </c>
      <c r="AE23">
        <v>959876592</v>
      </c>
      <c r="AI23" t="s">
        <v>156</v>
      </c>
      <c r="AP23">
        <v>555817221</v>
      </c>
      <c r="AQ23">
        <v>0</v>
      </c>
      <c r="AR23">
        <v>5613468</v>
      </c>
      <c r="AS23">
        <v>555817221</v>
      </c>
      <c r="AT23">
        <v>561430689</v>
      </c>
      <c r="AU23">
        <v>18527240</v>
      </c>
      <c r="AV23">
        <v>0</v>
      </c>
      <c r="AW23">
        <v>187115</v>
      </c>
      <c r="AX23">
        <v>18527240</v>
      </c>
      <c r="AY23">
        <v>18714356</v>
      </c>
      <c r="AZ23">
        <v>38.136699999999998</v>
      </c>
      <c r="BA23">
        <v>14.124499999999999</v>
      </c>
      <c r="BB23">
        <v>7153.06</v>
      </c>
      <c r="BD23">
        <v>2028</v>
      </c>
      <c r="BE23">
        <v>1255</v>
      </c>
      <c r="BF23" t="str">
        <f t="shared" si="0"/>
        <v>u=1%, k=2x10^7</v>
      </c>
      <c r="BG23">
        <f t="shared" si="1"/>
        <v>0</v>
      </c>
    </row>
    <row r="24" spans="1:59">
      <c r="A24" t="s">
        <v>157</v>
      </c>
      <c r="B24" t="s">
        <v>153</v>
      </c>
      <c r="D24" t="s">
        <v>64</v>
      </c>
      <c r="E24" t="s">
        <v>59</v>
      </c>
      <c r="F24" t="s">
        <v>60</v>
      </c>
      <c r="G24">
        <v>30000</v>
      </c>
      <c r="H24">
        <v>0.5</v>
      </c>
      <c r="I24">
        <v>0.5</v>
      </c>
      <c r="J24">
        <v>0</v>
      </c>
      <c r="K24">
        <v>1</v>
      </c>
      <c r="L24">
        <v>20000000</v>
      </c>
      <c r="M24">
        <v>96</v>
      </c>
      <c r="N24">
        <v>96</v>
      </c>
      <c r="O24">
        <v>96</v>
      </c>
      <c r="P24">
        <v>0</v>
      </c>
      <c r="Q24" t="s">
        <v>61</v>
      </c>
      <c r="R24">
        <v>100040594907044</v>
      </c>
      <c r="S24">
        <v>10002685</v>
      </c>
      <c r="T24">
        <v>100040594907044</v>
      </c>
      <c r="U24">
        <v>10002685</v>
      </c>
      <c r="V24" t="s">
        <v>74</v>
      </c>
      <c r="W24">
        <v>61</v>
      </c>
      <c r="X24">
        <v>10002684</v>
      </c>
      <c r="Y24">
        <v>10002685</v>
      </c>
      <c r="Z24">
        <v>20005369</v>
      </c>
      <c r="AA24">
        <v>10002685</v>
      </c>
      <c r="AB24">
        <v>2</v>
      </c>
      <c r="AC24">
        <v>1</v>
      </c>
      <c r="AD24">
        <v>31.076899999999998</v>
      </c>
      <c r="AE24">
        <v>960257712</v>
      </c>
      <c r="AI24" t="s">
        <v>158</v>
      </c>
      <c r="AP24">
        <v>1245524169</v>
      </c>
      <c r="AQ24">
        <v>0</v>
      </c>
      <c r="AR24">
        <v>12581199</v>
      </c>
      <c r="AS24">
        <v>1245524169</v>
      </c>
      <c r="AT24">
        <v>1258105368</v>
      </c>
      <c r="AU24">
        <v>41517472</v>
      </c>
      <c r="AV24">
        <v>0</v>
      </c>
      <c r="AW24">
        <v>419373</v>
      </c>
      <c r="AX24">
        <v>41517472</v>
      </c>
      <c r="AY24">
        <v>41936845</v>
      </c>
      <c r="AZ24">
        <v>39.353900000000003</v>
      </c>
      <c r="BA24">
        <v>16.196000000000002</v>
      </c>
      <c r="BB24">
        <v>6371.42</v>
      </c>
      <c r="BD24">
        <v>2046</v>
      </c>
      <c r="BE24">
        <v>857</v>
      </c>
      <c r="BF24" t="str">
        <f t="shared" si="0"/>
        <v>u=1%, k=2x10^7</v>
      </c>
      <c r="BG24">
        <f t="shared" si="1"/>
        <v>0</v>
      </c>
    </row>
    <row r="25" spans="1:59">
      <c r="A25" t="s">
        <v>159</v>
      </c>
      <c r="B25" t="s">
        <v>153</v>
      </c>
      <c r="D25" t="s">
        <v>64</v>
      </c>
      <c r="E25" t="s">
        <v>59</v>
      </c>
      <c r="F25" t="s">
        <v>60</v>
      </c>
      <c r="G25">
        <v>30000</v>
      </c>
      <c r="H25">
        <v>0.5</v>
      </c>
      <c r="I25">
        <v>0.5</v>
      </c>
      <c r="J25">
        <v>0</v>
      </c>
      <c r="K25">
        <v>1</v>
      </c>
      <c r="L25">
        <v>20000000</v>
      </c>
      <c r="M25">
        <v>144</v>
      </c>
      <c r="N25">
        <v>144</v>
      </c>
      <c r="O25">
        <v>144</v>
      </c>
      <c r="P25">
        <v>0</v>
      </c>
      <c r="Q25" t="s">
        <v>61</v>
      </c>
      <c r="R25">
        <v>100031689925665</v>
      </c>
      <c r="S25">
        <v>10004353</v>
      </c>
      <c r="T25">
        <v>100031689925665</v>
      </c>
      <c r="U25">
        <v>10004353</v>
      </c>
      <c r="V25" t="s">
        <v>74</v>
      </c>
      <c r="W25">
        <v>61</v>
      </c>
      <c r="X25">
        <v>10004352</v>
      </c>
      <c r="Y25">
        <v>10004353</v>
      </c>
      <c r="Z25">
        <v>20008705</v>
      </c>
      <c r="AA25">
        <v>10004353</v>
      </c>
      <c r="AB25">
        <v>2</v>
      </c>
      <c r="AC25">
        <v>1</v>
      </c>
      <c r="AD25">
        <v>31.2502</v>
      </c>
      <c r="AE25">
        <v>960417840</v>
      </c>
      <c r="AI25" t="s">
        <v>160</v>
      </c>
      <c r="AP25">
        <v>1893594445</v>
      </c>
      <c r="AQ25">
        <v>0</v>
      </c>
      <c r="AR25">
        <v>19127990</v>
      </c>
      <c r="AS25">
        <v>1893594445</v>
      </c>
      <c r="AT25">
        <v>1912722435</v>
      </c>
      <c r="AU25">
        <v>63119814</v>
      </c>
      <c r="AV25">
        <v>0</v>
      </c>
      <c r="AW25">
        <v>637599</v>
      </c>
      <c r="AX25">
        <v>63119814</v>
      </c>
      <c r="AY25">
        <v>63757414</v>
      </c>
      <c r="AZ25">
        <v>39.648000000000003</v>
      </c>
      <c r="BA25">
        <v>16.4908</v>
      </c>
      <c r="BB25">
        <v>6284.77</v>
      </c>
      <c r="BD25">
        <v>2064</v>
      </c>
      <c r="BE25">
        <v>514</v>
      </c>
      <c r="BF25" t="str">
        <f t="shared" si="0"/>
        <v>u=1%, k=2x10^7</v>
      </c>
      <c r="BG25">
        <f t="shared" si="1"/>
        <v>0</v>
      </c>
    </row>
    <row r="26" spans="1:59">
      <c r="A26" t="s">
        <v>161</v>
      </c>
      <c r="B26" t="s">
        <v>153</v>
      </c>
      <c r="D26" t="s">
        <v>64</v>
      </c>
      <c r="E26" t="s">
        <v>59</v>
      </c>
      <c r="F26" t="s">
        <v>60</v>
      </c>
      <c r="G26">
        <v>30000</v>
      </c>
      <c r="H26">
        <v>0.5</v>
      </c>
      <c r="I26">
        <v>0.5</v>
      </c>
      <c r="J26">
        <v>0</v>
      </c>
      <c r="K26">
        <v>1</v>
      </c>
      <c r="L26">
        <v>20000000</v>
      </c>
      <c r="M26">
        <v>190</v>
      </c>
      <c r="N26">
        <v>190</v>
      </c>
      <c r="O26">
        <v>190</v>
      </c>
      <c r="P26">
        <v>0</v>
      </c>
      <c r="Q26" t="s">
        <v>61</v>
      </c>
      <c r="R26">
        <v>100023810161253</v>
      </c>
      <c r="S26">
        <v>10001349</v>
      </c>
      <c r="T26">
        <v>100023810161253</v>
      </c>
      <c r="U26">
        <v>10001349</v>
      </c>
      <c r="V26" t="s">
        <v>74</v>
      </c>
      <c r="W26">
        <v>57</v>
      </c>
      <c r="X26">
        <v>10001348</v>
      </c>
      <c r="Y26">
        <v>10001349</v>
      </c>
      <c r="Z26">
        <v>20002697</v>
      </c>
      <c r="AA26">
        <v>10001349</v>
      </c>
      <c r="AB26">
        <v>2</v>
      </c>
      <c r="AC26">
        <v>1</v>
      </c>
      <c r="AD26">
        <v>30.8657</v>
      </c>
      <c r="AE26">
        <v>960129456</v>
      </c>
      <c r="AI26" t="s">
        <v>162</v>
      </c>
      <c r="AP26">
        <v>2515279415</v>
      </c>
      <c r="AQ26">
        <v>0</v>
      </c>
      <c r="AR26">
        <v>25406895</v>
      </c>
      <c r="AS26">
        <v>2515279415</v>
      </c>
      <c r="AT26">
        <v>2540686310</v>
      </c>
      <c r="AU26">
        <v>83842647</v>
      </c>
      <c r="AV26">
        <v>0</v>
      </c>
      <c r="AW26">
        <v>846896</v>
      </c>
      <c r="AX26">
        <v>83842647</v>
      </c>
      <c r="AY26">
        <v>84689543</v>
      </c>
      <c r="AZ26">
        <v>39.721499999999999</v>
      </c>
      <c r="BA26">
        <v>16.670400000000001</v>
      </c>
      <c r="BB26">
        <v>6238.35</v>
      </c>
      <c r="BD26">
        <v>2097</v>
      </c>
      <c r="BE26">
        <v>500</v>
      </c>
      <c r="BF26" t="str">
        <f t="shared" si="0"/>
        <v>u=1%, k=2x10^7</v>
      </c>
      <c r="BG26">
        <f t="shared" si="1"/>
        <v>0</v>
      </c>
    </row>
    <row r="27" spans="1:59">
      <c r="A27" t="s">
        <v>163</v>
      </c>
      <c r="B27" t="s">
        <v>164</v>
      </c>
      <c r="D27" t="s">
        <v>64</v>
      </c>
      <c r="E27" t="s">
        <v>59</v>
      </c>
      <c r="F27" t="s">
        <v>60</v>
      </c>
      <c r="G27">
        <v>30000</v>
      </c>
      <c r="H27">
        <v>0.5</v>
      </c>
      <c r="I27">
        <v>0.5</v>
      </c>
      <c r="J27">
        <v>0</v>
      </c>
      <c r="K27">
        <v>1</v>
      </c>
      <c r="L27">
        <v>20000000</v>
      </c>
      <c r="M27">
        <v>24</v>
      </c>
      <c r="N27">
        <v>24</v>
      </c>
      <c r="O27">
        <v>24</v>
      </c>
      <c r="P27">
        <v>0</v>
      </c>
      <c r="Q27" t="s">
        <v>61</v>
      </c>
      <c r="R27">
        <v>99970159245082</v>
      </c>
      <c r="S27">
        <v>9997483</v>
      </c>
      <c r="T27">
        <v>99970159245082</v>
      </c>
      <c r="U27">
        <v>9997483</v>
      </c>
      <c r="V27" t="s">
        <v>74</v>
      </c>
      <c r="W27">
        <v>58</v>
      </c>
      <c r="X27">
        <v>6651339</v>
      </c>
      <c r="Y27">
        <v>3346144</v>
      </c>
      <c r="Z27">
        <v>9997483</v>
      </c>
      <c r="AA27">
        <v>9997483</v>
      </c>
      <c r="AB27">
        <v>1.50308</v>
      </c>
      <c r="AC27">
        <v>2.9877600000000002</v>
      </c>
      <c r="AD27">
        <v>28.936800000000002</v>
      </c>
      <c r="AE27">
        <v>1919516736</v>
      </c>
      <c r="AI27" t="s">
        <v>165</v>
      </c>
      <c r="AP27">
        <v>333930206</v>
      </c>
      <c r="AQ27">
        <v>0</v>
      </c>
      <c r="AR27">
        <v>3376832</v>
      </c>
      <c r="AS27">
        <v>333930206</v>
      </c>
      <c r="AT27">
        <v>337307038</v>
      </c>
      <c r="AU27">
        <v>11131006</v>
      </c>
      <c r="AV27">
        <v>0</v>
      </c>
      <c r="AW27">
        <v>112561</v>
      </c>
      <c r="AX27">
        <v>11131006</v>
      </c>
      <c r="AY27">
        <v>11243567</v>
      </c>
      <c r="AZ27">
        <v>26.148199999999999</v>
      </c>
      <c r="BA27">
        <v>8.7513400000000008</v>
      </c>
      <c r="BB27">
        <v>5954.91</v>
      </c>
      <c r="BD27">
        <v>2969</v>
      </c>
      <c r="BE27">
        <v>1654</v>
      </c>
      <c r="BF27" t="str">
        <f t="shared" si="0"/>
        <v>u=1%, k=2x10^7</v>
      </c>
      <c r="BG27">
        <f t="shared" si="1"/>
        <v>0</v>
      </c>
    </row>
    <row r="28" spans="1:59">
      <c r="A28" t="s">
        <v>166</v>
      </c>
      <c r="B28" t="s">
        <v>164</v>
      </c>
      <c r="D28" t="s">
        <v>64</v>
      </c>
      <c r="E28" t="s">
        <v>59</v>
      </c>
      <c r="F28" t="s">
        <v>60</v>
      </c>
      <c r="G28">
        <v>30000</v>
      </c>
      <c r="H28">
        <v>0.5</v>
      </c>
      <c r="I28">
        <v>0.5</v>
      </c>
      <c r="J28">
        <v>0</v>
      </c>
      <c r="K28">
        <v>1</v>
      </c>
      <c r="L28">
        <v>20000000</v>
      </c>
      <c r="M28">
        <v>48</v>
      </c>
      <c r="N28">
        <v>48</v>
      </c>
      <c r="O28">
        <v>48</v>
      </c>
      <c r="P28">
        <v>0</v>
      </c>
      <c r="Q28" t="s">
        <v>61</v>
      </c>
      <c r="R28">
        <v>99983501972201</v>
      </c>
      <c r="S28">
        <v>9998489</v>
      </c>
      <c r="T28">
        <v>99983501972201</v>
      </c>
      <c r="U28">
        <v>9998489</v>
      </c>
      <c r="V28" t="s">
        <v>74</v>
      </c>
      <c r="W28">
        <v>60</v>
      </c>
      <c r="X28">
        <v>6637383</v>
      </c>
      <c r="Y28">
        <v>3361106</v>
      </c>
      <c r="Z28">
        <v>9998489</v>
      </c>
      <c r="AA28">
        <v>9998489</v>
      </c>
      <c r="AB28">
        <v>1.5063899999999999</v>
      </c>
      <c r="AC28">
        <v>2.9747599999999998</v>
      </c>
      <c r="AD28">
        <v>28.8979</v>
      </c>
      <c r="AE28">
        <v>1919709888</v>
      </c>
      <c r="AI28" t="s">
        <v>167</v>
      </c>
      <c r="AP28">
        <v>644625530</v>
      </c>
      <c r="AQ28">
        <v>0</v>
      </c>
      <c r="AR28">
        <v>6511428</v>
      </c>
      <c r="AS28">
        <v>644625530</v>
      </c>
      <c r="AT28">
        <v>651136958</v>
      </c>
      <c r="AU28">
        <v>21487517</v>
      </c>
      <c r="AV28">
        <v>0</v>
      </c>
      <c r="AW28">
        <v>217047</v>
      </c>
      <c r="AX28">
        <v>21487517</v>
      </c>
      <c r="AY28">
        <v>21704565</v>
      </c>
      <c r="AZ28">
        <v>26.251100000000001</v>
      </c>
      <c r="BA28">
        <v>8.6016700000000004</v>
      </c>
      <c r="BB28">
        <v>6168.6</v>
      </c>
      <c r="BD28">
        <v>2979</v>
      </c>
      <c r="BE28">
        <v>1183</v>
      </c>
      <c r="BF28" t="str">
        <f t="shared" si="0"/>
        <v>u=1%, k=2x10^7</v>
      </c>
      <c r="BG28">
        <f t="shared" si="1"/>
        <v>0</v>
      </c>
    </row>
    <row r="29" spans="1:59">
      <c r="A29" t="s">
        <v>168</v>
      </c>
      <c r="B29" t="s">
        <v>164</v>
      </c>
      <c r="D29" t="s">
        <v>64</v>
      </c>
      <c r="E29" t="s">
        <v>59</v>
      </c>
      <c r="F29" t="s">
        <v>60</v>
      </c>
      <c r="G29">
        <v>30000</v>
      </c>
      <c r="H29">
        <v>0.5</v>
      </c>
      <c r="I29">
        <v>0.5</v>
      </c>
      <c r="J29">
        <v>0</v>
      </c>
      <c r="K29">
        <v>1</v>
      </c>
      <c r="L29">
        <v>20000000</v>
      </c>
      <c r="M29">
        <v>96</v>
      </c>
      <c r="N29">
        <v>96</v>
      </c>
      <c r="O29">
        <v>96</v>
      </c>
      <c r="P29">
        <v>0</v>
      </c>
      <c r="Q29" t="s">
        <v>61</v>
      </c>
      <c r="R29">
        <v>99961019237188</v>
      </c>
      <c r="S29">
        <v>9998477</v>
      </c>
      <c r="T29">
        <v>99961019237188</v>
      </c>
      <c r="U29">
        <v>9998477</v>
      </c>
      <c r="V29" t="s">
        <v>74</v>
      </c>
      <c r="W29">
        <v>58</v>
      </c>
      <c r="X29">
        <v>6611912</v>
      </c>
      <c r="Y29">
        <v>3386565</v>
      </c>
      <c r="Z29">
        <v>9998477</v>
      </c>
      <c r="AA29">
        <v>9998477</v>
      </c>
      <c r="AB29">
        <v>1.5121899999999999</v>
      </c>
      <c r="AC29">
        <v>2.9523899999999998</v>
      </c>
      <c r="AD29">
        <v>29.857399999999998</v>
      </c>
      <c r="AE29">
        <v>1919707584</v>
      </c>
      <c r="AI29" t="s">
        <v>169</v>
      </c>
      <c r="AP29">
        <v>1407646030</v>
      </c>
      <c r="AQ29">
        <v>0</v>
      </c>
      <c r="AR29">
        <v>14220114</v>
      </c>
      <c r="AS29">
        <v>1407646030</v>
      </c>
      <c r="AT29">
        <v>1421866144</v>
      </c>
      <c r="AU29">
        <v>46921534</v>
      </c>
      <c r="AV29">
        <v>0</v>
      </c>
      <c r="AW29">
        <v>474003</v>
      </c>
      <c r="AX29">
        <v>46921534</v>
      </c>
      <c r="AY29">
        <v>47395538</v>
      </c>
      <c r="AZ29">
        <v>27.624600000000001</v>
      </c>
      <c r="BA29">
        <v>9.8985500000000002</v>
      </c>
      <c r="BB29">
        <v>5642.64</v>
      </c>
      <c r="BD29">
        <v>2997</v>
      </c>
      <c r="BE29">
        <v>859</v>
      </c>
      <c r="BF29" t="str">
        <f t="shared" si="0"/>
        <v>u=1%, k=2x10^7</v>
      </c>
      <c r="BG29">
        <f t="shared" si="1"/>
        <v>0</v>
      </c>
    </row>
    <row r="30" spans="1:59">
      <c r="A30" t="s">
        <v>170</v>
      </c>
      <c r="B30" t="s">
        <v>164</v>
      </c>
      <c r="D30" t="s">
        <v>64</v>
      </c>
      <c r="E30" t="s">
        <v>59</v>
      </c>
      <c r="F30" t="s">
        <v>60</v>
      </c>
      <c r="G30">
        <v>30000</v>
      </c>
      <c r="H30">
        <v>0.5</v>
      </c>
      <c r="I30">
        <v>0.5</v>
      </c>
      <c r="J30">
        <v>0</v>
      </c>
      <c r="K30">
        <v>1</v>
      </c>
      <c r="L30">
        <v>20000000</v>
      </c>
      <c r="M30">
        <v>144</v>
      </c>
      <c r="N30">
        <v>144</v>
      </c>
      <c r="O30">
        <v>144</v>
      </c>
      <c r="P30">
        <v>0</v>
      </c>
      <c r="Q30" t="s">
        <v>61</v>
      </c>
      <c r="R30">
        <v>100054964497806</v>
      </c>
      <c r="S30">
        <v>10002784</v>
      </c>
      <c r="T30">
        <v>100054964497806</v>
      </c>
      <c r="U30">
        <v>10002784</v>
      </c>
      <c r="V30" t="s">
        <v>74</v>
      </c>
      <c r="W30">
        <v>58</v>
      </c>
      <c r="X30">
        <v>6595079</v>
      </c>
      <c r="Y30">
        <v>3407705</v>
      </c>
      <c r="Z30">
        <v>10002784</v>
      </c>
      <c r="AA30">
        <v>10002784</v>
      </c>
      <c r="AB30">
        <v>1.5166999999999999</v>
      </c>
      <c r="AC30">
        <v>2.9353400000000001</v>
      </c>
      <c r="AD30">
        <v>28.739100000000001</v>
      </c>
      <c r="AE30">
        <v>1920534528</v>
      </c>
      <c r="AI30" t="s">
        <v>171</v>
      </c>
      <c r="AP30">
        <v>2126082507</v>
      </c>
      <c r="AQ30">
        <v>0</v>
      </c>
      <c r="AR30">
        <v>21473054</v>
      </c>
      <c r="AS30">
        <v>2126082507</v>
      </c>
      <c r="AT30">
        <v>2147555561</v>
      </c>
      <c r="AU30">
        <v>70869416</v>
      </c>
      <c r="AV30">
        <v>0</v>
      </c>
      <c r="AW30">
        <v>715768</v>
      </c>
      <c r="AX30">
        <v>70869416</v>
      </c>
      <c r="AY30">
        <v>71585185</v>
      </c>
      <c r="AZ30">
        <v>28.382200000000001</v>
      </c>
      <c r="BA30">
        <v>10.082000000000001</v>
      </c>
      <c r="BB30">
        <v>5602</v>
      </c>
      <c r="BD30">
        <v>3017</v>
      </c>
      <c r="BE30">
        <v>569</v>
      </c>
      <c r="BF30" t="str">
        <f t="shared" si="0"/>
        <v>u=1%, k=2x10^7</v>
      </c>
      <c r="BG30">
        <f t="shared" si="1"/>
        <v>0</v>
      </c>
    </row>
    <row r="31" spans="1:59">
      <c r="A31" t="s">
        <v>172</v>
      </c>
      <c r="B31" t="s">
        <v>164</v>
      </c>
      <c r="D31" t="s">
        <v>64</v>
      </c>
      <c r="E31" t="s">
        <v>59</v>
      </c>
      <c r="F31" t="s">
        <v>60</v>
      </c>
      <c r="G31">
        <v>30000</v>
      </c>
      <c r="H31">
        <v>0.5</v>
      </c>
      <c r="I31">
        <v>0.5</v>
      </c>
      <c r="J31">
        <v>0</v>
      </c>
      <c r="K31">
        <v>1</v>
      </c>
      <c r="L31">
        <v>20000000</v>
      </c>
      <c r="M31">
        <v>190</v>
      </c>
      <c r="N31">
        <v>190</v>
      </c>
      <c r="O31">
        <v>190</v>
      </c>
      <c r="P31">
        <v>0</v>
      </c>
      <c r="Q31" t="s">
        <v>61</v>
      </c>
      <c r="R31">
        <v>99977389333734</v>
      </c>
      <c r="S31">
        <v>9998473</v>
      </c>
      <c r="T31">
        <v>99977389333734</v>
      </c>
      <c r="U31">
        <v>9998473</v>
      </c>
      <c r="V31" t="s">
        <v>74</v>
      </c>
      <c r="W31">
        <v>58</v>
      </c>
      <c r="X31">
        <v>6578669</v>
      </c>
      <c r="Y31">
        <v>3419804</v>
      </c>
      <c r="Z31">
        <v>9998473</v>
      </c>
      <c r="AA31">
        <v>9998473</v>
      </c>
      <c r="AB31">
        <v>1.51983</v>
      </c>
      <c r="AC31">
        <v>2.9237000000000002</v>
      </c>
      <c r="AD31">
        <v>29.21</v>
      </c>
      <c r="AE31">
        <v>1919706816</v>
      </c>
      <c r="AI31" t="s">
        <v>173</v>
      </c>
      <c r="AP31">
        <v>2806692482</v>
      </c>
      <c r="AQ31">
        <v>0</v>
      </c>
      <c r="AR31">
        <v>28353099</v>
      </c>
      <c r="AS31">
        <v>2806692482</v>
      </c>
      <c r="AT31">
        <v>2835045581</v>
      </c>
      <c r="AU31">
        <v>93556416</v>
      </c>
      <c r="AV31">
        <v>0</v>
      </c>
      <c r="AW31">
        <v>945103</v>
      </c>
      <c r="AX31">
        <v>93556416</v>
      </c>
      <c r="AY31">
        <v>94501519</v>
      </c>
      <c r="AZ31">
        <v>28.968699999999998</v>
      </c>
      <c r="BA31">
        <v>10.1595</v>
      </c>
      <c r="BB31">
        <v>5597.37</v>
      </c>
      <c r="BD31">
        <v>3035</v>
      </c>
      <c r="BE31">
        <v>578</v>
      </c>
      <c r="BF31" t="str">
        <f t="shared" si="0"/>
        <v>u=1%, k=2x10^7</v>
      </c>
      <c r="BG31">
        <f t="shared" si="1"/>
        <v>0</v>
      </c>
    </row>
    <row r="32" spans="1:59">
      <c r="A32" t="s">
        <v>174</v>
      </c>
      <c r="B32" t="s">
        <v>63</v>
      </c>
      <c r="C32">
        <v>72</v>
      </c>
      <c r="D32" t="s">
        <v>64</v>
      </c>
      <c r="E32" t="s">
        <v>59</v>
      </c>
      <c r="F32" t="s">
        <v>60</v>
      </c>
      <c r="G32">
        <v>30000</v>
      </c>
      <c r="H32">
        <v>0.5</v>
      </c>
      <c r="I32">
        <v>0.5</v>
      </c>
      <c r="J32">
        <v>0</v>
      </c>
      <c r="K32">
        <v>1</v>
      </c>
      <c r="L32">
        <v>20000000</v>
      </c>
      <c r="M32">
        <v>24</v>
      </c>
      <c r="N32">
        <v>24</v>
      </c>
      <c r="O32">
        <v>24</v>
      </c>
      <c r="P32">
        <v>0</v>
      </c>
      <c r="Q32" t="s">
        <v>61</v>
      </c>
      <c r="R32">
        <v>99978687907722</v>
      </c>
      <c r="S32">
        <v>9997333</v>
      </c>
      <c r="T32">
        <v>99978687907722</v>
      </c>
      <c r="U32">
        <v>9997333</v>
      </c>
      <c r="V32" t="s">
        <v>74</v>
      </c>
      <c r="W32">
        <v>7</v>
      </c>
      <c r="X32">
        <v>1737871</v>
      </c>
      <c r="Y32">
        <v>11667101</v>
      </c>
      <c r="Z32">
        <v>13404972</v>
      </c>
      <c r="AA32">
        <v>9997333</v>
      </c>
      <c r="AB32">
        <v>7.7134400000000003</v>
      </c>
      <c r="AC32">
        <v>0.85688200000000003</v>
      </c>
      <c r="AD32">
        <v>4.0225299999999997</v>
      </c>
      <c r="AE32">
        <v>325703760</v>
      </c>
      <c r="AF32" t="s">
        <v>175</v>
      </c>
      <c r="AG32" t="s">
        <v>176</v>
      </c>
      <c r="AH32">
        <v>416</v>
      </c>
      <c r="AI32">
        <v>380390</v>
      </c>
      <c r="AP32">
        <v>1043685330</v>
      </c>
      <c r="AQ32">
        <v>0</v>
      </c>
      <c r="AR32">
        <v>10547261</v>
      </c>
      <c r="AS32">
        <v>1043685330</v>
      </c>
      <c r="AT32">
        <v>1054232591</v>
      </c>
      <c r="AU32">
        <v>34789511</v>
      </c>
      <c r="AV32">
        <v>0</v>
      </c>
      <c r="AW32">
        <v>351575</v>
      </c>
      <c r="AX32">
        <v>34789511</v>
      </c>
      <c r="AY32">
        <v>35141086</v>
      </c>
      <c r="AZ32">
        <v>16.129000000000001</v>
      </c>
      <c r="BA32">
        <v>5.8996399999999998</v>
      </c>
      <c r="BB32">
        <v>1902.5</v>
      </c>
      <c r="BD32">
        <v>2439</v>
      </c>
      <c r="BE32">
        <v>156</v>
      </c>
      <c r="BF32" t="str">
        <f t="shared" si="0"/>
        <v>u=1%, k=2x10^7</v>
      </c>
      <c r="BG32" t="str">
        <f t="shared" si="1"/>
        <v>416</v>
      </c>
    </row>
    <row r="33" spans="1:59">
      <c r="A33" t="s">
        <v>177</v>
      </c>
      <c r="B33" t="s">
        <v>63</v>
      </c>
      <c r="C33">
        <v>72</v>
      </c>
      <c r="D33" t="s">
        <v>64</v>
      </c>
      <c r="E33" t="s">
        <v>59</v>
      </c>
      <c r="F33" t="s">
        <v>60</v>
      </c>
      <c r="G33">
        <v>30000</v>
      </c>
      <c r="H33">
        <v>0.5</v>
      </c>
      <c r="I33">
        <v>0.5</v>
      </c>
      <c r="J33">
        <v>0</v>
      </c>
      <c r="K33">
        <v>1</v>
      </c>
      <c r="L33">
        <v>20000000</v>
      </c>
      <c r="M33">
        <v>48</v>
      </c>
      <c r="N33">
        <v>48</v>
      </c>
      <c r="O33">
        <v>48</v>
      </c>
      <c r="P33">
        <v>0</v>
      </c>
      <c r="Q33" t="s">
        <v>61</v>
      </c>
      <c r="R33">
        <v>99976370058389</v>
      </c>
      <c r="S33">
        <v>9996800</v>
      </c>
      <c r="T33">
        <v>99976370058389</v>
      </c>
      <c r="U33">
        <v>9996800</v>
      </c>
      <c r="V33" t="s">
        <v>74</v>
      </c>
      <c r="W33">
        <v>7</v>
      </c>
      <c r="X33">
        <v>1905517</v>
      </c>
      <c r="Y33">
        <v>12032222</v>
      </c>
      <c r="Z33">
        <v>13937739</v>
      </c>
      <c r="AA33">
        <v>9996800</v>
      </c>
      <c r="AB33">
        <v>7.3144099999999996</v>
      </c>
      <c r="AC33">
        <v>0.83083600000000002</v>
      </c>
      <c r="AD33">
        <v>4.0557800000000004</v>
      </c>
      <c r="AE33">
        <v>344999392</v>
      </c>
      <c r="AF33" t="s">
        <v>178</v>
      </c>
      <c r="AG33" t="s">
        <v>179</v>
      </c>
      <c r="AH33">
        <v>1648</v>
      </c>
      <c r="AI33">
        <v>160604</v>
      </c>
      <c r="AP33">
        <v>1808498029</v>
      </c>
      <c r="AQ33">
        <v>0</v>
      </c>
      <c r="AR33">
        <v>18268387</v>
      </c>
      <c r="AS33">
        <v>1808498029</v>
      </c>
      <c r="AT33">
        <v>1826766416</v>
      </c>
      <c r="AU33">
        <v>60283267</v>
      </c>
      <c r="AV33">
        <v>0</v>
      </c>
      <c r="AW33">
        <v>608946</v>
      </c>
      <c r="AX33">
        <v>60283267</v>
      </c>
      <c r="AY33">
        <v>60892213</v>
      </c>
      <c r="AZ33">
        <v>16.069500000000001</v>
      </c>
      <c r="BA33">
        <v>5.9847900000000003</v>
      </c>
      <c r="BB33">
        <v>2190.2600000000002</v>
      </c>
      <c r="BD33">
        <v>2475</v>
      </c>
      <c r="BE33">
        <v>171</v>
      </c>
      <c r="BF33" t="str">
        <f t="shared" si="0"/>
        <v>u=1%, k=2x10^7</v>
      </c>
      <c r="BG33" t="str">
        <f t="shared" si="1"/>
        <v>1648</v>
      </c>
    </row>
    <row r="34" spans="1:59">
      <c r="A34" t="s">
        <v>180</v>
      </c>
      <c r="B34" t="s">
        <v>63</v>
      </c>
      <c r="C34">
        <v>72</v>
      </c>
      <c r="D34" t="s">
        <v>64</v>
      </c>
      <c r="E34" t="s">
        <v>59</v>
      </c>
      <c r="F34" t="s">
        <v>60</v>
      </c>
      <c r="G34">
        <v>30000</v>
      </c>
      <c r="H34">
        <v>0.5</v>
      </c>
      <c r="I34">
        <v>0.5</v>
      </c>
      <c r="J34">
        <v>0</v>
      </c>
      <c r="K34">
        <v>1</v>
      </c>
      <c r="L34">
        <v>20000000</v>
      </c>
      <c r="M34">
        <v>96</v>
      </c>
      <c r="N34">
        <v>96</v>
      </c>
      <c r="O34">
        <v>96</v>
      </c>
      <c r="P34">
        <v>0</v>
      </c>
      <c r="Q34" t="s">
        <v>61</v>
      </c>
      <c r="R34">
        <v>99997240861015</v>
      </c>
      <c r="S34">
        <v>10000942</v>
      </c>
      <c r="T34">
        <v>99997240861015</v>
      </c>
      <c r="U34">
        <v>10000942</v>
      </c>
      <c r="V34" t="s">
        <v>74</v>
      </c>
      <c r="W34">
        <v>7</v>
      </c>
      <c r="X34">
        <v>1862213</v>
      </c>
      <c r="Y34">
        <v>11949608</v>
      </c>
      <c r="Z34">
        <v>13811821</v>
      </c>
      <c r="AA34">
        <v>10000942</v>
      </c>
      <c r="AB34">
        <v>7.4168900000000004</v>
      </c>
      <c r="AC34">
        <v>0.83692599999999995</v>
      </c>
      <c r="AD34">
        <v>4.0464700000000002</v>
      </c>
      <c r="AE34">
        <v>340211504</v>
      </c>
      <c r="AF34" t="s">
        <v>181</v>
      </c>
      <c r="AG34" t="s">
        <v>182</v>
      </c>
      <c r="AH34">
        <v>8092</v>
      </c>
      <c r="AI34">
        <v>83530</v>
      </c>
      <c r="AP34">
        <v>3835149846</v>
      </c>
      <c r="AQ34">
        <v>0</v>
      </c>
      <c r="AR34">
        <v>38739224</v>
      </c>
      <c r="AS34">
        <v>3835149846</v>
      </c>
      <c r="AT34">
        <v>3873889070</v>
      </c>
      <c r="AU34">
        <v>127838328</v>
      </c>
      <c r="AV34">
        <v>0</v>
      </c>
      <c r="AW34">
        <v>1291307</v>
      </c>
      <c r="AX34">
        <v>127838328</v>
      </c>
      <c r="AY34">
        <v>129129635</v>
      </c>
      <c r="AZ34">
        <v>16.2378</v>
      </c>
      <c r="BA34">
        <v>6.4216600000000001</v>
      </c>
      <c r="BB34">
        <v>2044.99</v>
      </c>
      <c r="BD34">
        <v>2545</v>
      </c>
      <c r="BE34">
        <v>245</v>
      </c>
      <c r="BF34" t="str">
        <f t="shared" si="0"/>
        <v>u=1%, k=2x10^7</v>
      </c>
      <c r="BG34" t="str">
        <f t="shared" si="1"/>
        <v>8092</v>
      </c>
    </row>
    <row r="35" spans="1:59">
      <c r="A35" t="s">
        <v>183</v>
      </c>
      <c r="B35" t="s">
        <v>63</v>
      </c>
      <c r="C35">
        <v>72</v>
      </c>
      <c r="D35" t="s">
        <v>64</v>
      </c>
      <c r="E35" t="s">
        <v>59</v>
      </c>
      <c r="F35" t="s">
        <v>60</v>
      </c>
      <c r="G35">
        <v>30000</v>
      </c>
      <c r="H35">
        <v>0.5</v>
      </c>
      <c r="I35">
        <v>0.5</v>
      </c>
      <c r="J35">
        <v>0</v>
      </c>
      <c r="K35">
        <v>1</v>
      </c>
      <c r="L35">
        <v>20000000</v>
      </c>
      <c r="M35">
        <v>144</v>
      </c>
      <c r="N35">
        <v>144</v>
      </c>
      <c r="O35">
        <v>144</v>
      </c>
      <c r="P35">
        <v>0</v>
      </c>
      <c r="Q35" t="s">
        <v>61</v>
      </c>
      <c r="R35">
        <v>100007642159732</v>
      </c>
      <c r="S35">
        <v>10001764</v>
      </c>
      <c r="T35">
        <v>100007642159732</v>
      </c>
      <c r="U35">
        <v>10001764</v>
      </c>
      <c r="V35" t="s">
        <v>74</v>
      </c>
      <c r="W35">
        <v>7</v>
      </c>
      <c r="X35">
        <v>1890394</v>
      </c>
      <c r="Y35">
        <v>11995882</v>
      </c>
      <c r="Z35">
        <v>13886276</v>
      </c>
      <c r="AA35">
        <v>10001764</v>
      </c>
      <c r="AB35">
        <v>7.3456999999999999</v>
      </c>
      <c r="AC35">
        <v>0.83376600000000001</v>
      </c>
      <c r="AD35">
        <v>4.0530499999999998</v>
      </c>
      <c r="AE35">
        <v>343186672</v>
      </c>
      <c r="AF35" t="s">
        <v>184</v>
      </c>
      <c r="AG35" t="s">
        <v>185</v>
      </c>
      <c r="AH35">
        <v>19819</v>
      </c>
      <c r="AI35">
        <v>56038</v>
      </c>
      <c r="AP35">
        <v>5662125490</v>
      </c>
      <c r="AQ35">
        <v>0</v>
      </c>
      <c r="AR35">
        <v>57188045</v>
      </c>
      <c r="AS35">
        <v>5662125490</v>
      </c>
      <c r="AT35">
        <v>5719313535</v>
      </c>
      <c r="AU35">
        <v>188737516</v>
      </c>
      <c r="AV35">
        <v>0</v>
      </c>
      <c r="AW35">
        <v>1906268</v>
      </c>
      <c r="AX35">
        <v>188737516</v>
      </c>
      <c r="AY35">
        <v>190643784</v>
      </c>
      <c r="AZ35">
        <v>16.261900000000001</v>
      </c>
      <c r="BA35">
        <v>6.5670700000000002</v>
      </c>
      <c r="BB35">
        <v>2077.81</v>
      </c>
      <c r="BD35">
        <v>2679</v>
      </c>
      <c r="BE35">
        <v>466</v>
      </c>
      <c r="BF35" t="str">
        <f t="shared" si="0"/>
        <v>u=1%, k=2x10^7</v>
      </c>
      <c r="BG35" t="str">
        <f t="shared" si="1"/>
        <v>19819</v>
      </c>
    </row>
    <row r="36" spans="1:59">
      <c r="A36" t="s">
        <v>186</v>
      </c>
      <c r="B36" t="s">
        <v>63</v>
      </c>
      <c r="C36">
        <v>72</v>
      </c>
      <c r="D36" t="s">
        <v>64</v>
      </c>
      <c r="E36" t="s">
        <v>59</v>
      </c>
      <c r="F36" t="s">
        <v>60</v>
      </c>
      <c r="G36">
        <v>30000</v>
      </c>
      <c r="H36">
        <v>0.5</v>
      </c>
      <c r="I36">
        <v>0.5</v>
      </c>
      <c r="J36">
        <v>0</v>
      </c>
      <c r="K36">
        <v>1</v>
      </c>
      <c r="L36">
        <v>20000000</v>
      </c>
      <c r="M36">
        <v>190</v>
      </c>
      <c r="N36">
        <v>190</v>
      </c>
      <c r="O36">
        <v>190</v>
      </c>
      <c r="P36">
        <v>0</v>
      </c>
      <c r="Q36" t="s">
        <v>61</v>
      </c>
      <c r="R36">
        <v>99963320361109</v>
      </c>
      <c r="S36">
        <v>9997584</v>
      </c>
      <c r="T36">
        <v>99963320361109</v>
      </c>
      <c r="U36">
        <v>9997584</v>
      </c>
      <c r="V36" t="s">
        <v>74</v>
      </c>
      <c r="W36">
        <v>7</v>
      </c>
      <c r="X36">
        <v>1625323</v>
      </c>
      <c r="Y36">
        <v>11439557</v>
      </c>
      <c r="Z36">
        <v>13064880</v>
      </c>
      <c r="AA36">
        <v>9997584</v>
      </c>
      <c r="AB36">
        <v>8.0383300000000002</v>
      </c>
      <c r="AC36">
        <v>0.87394899999999998</v>
      </c>
      <c r="AD36">
        <v>4.0000099999999996</v>
      </c>
      <c r="AE36">
        <v>313058736</v>
      </c>
      <c r="AF36" t="s">
        <v>187</v>
      </c>
      <c r="AG36" t="s">
        <v>188</v>
      </c>
      <c r="AH36">
        <v>36499</v>
      </c>
      <c r="AI36">
        <v>46882</v>
      </c>
      <c r="AP36">
        <v>7423780614</v>
      </c>
      <c r="AQ36">
        <v>0</v>
      </c>
      <c r="AR36">
        <v>74984566</v>
      </c>
      <c r="AS36">
        <v>7423780614</v>
      </c>
      <c r="AT36">
        <v>7498765180</v>
      </c>
      <c r="AU36">
        <v>247459353</v>
      </c>
      <c r="AV36">
        <v>0</v>
      </c>
      <c r="AW36">
        <v>2499485</v>
      </c>
      <c r="AX36">
        <v>247459353</v>
      </c>
      <c r="AY36">
        <v>249958839</v>
      </c>
      <c r="AZ36">
        <v>16.331299999999999</v>
      </c>
      <c r="BA36">
        <v>6.6574099999999996</v>
      </c>
      <c r="BB36">
        <v>2087.25</v>
      </c>
      <c r="BD36">
        <v>2771</v>
      </c>
      <c r="BE36">
        <v>383</v>
      </c>
      <c r="BF36" t="str">
        <f t="shared" si="0"/>
        <v>u=1%, k=2x10^7</v>
      </c>
      <c r="BG36" t="str">
        <f t="shared" si="1"/>
        <v>36499</v>
      </c>
    </row>
    <row r="37" spans="1:59">
      <c r="A37" t="s">
        <v>189</v>
      </c>
      <c r="B37" t="s">
        <v>65</v>
      </c>
      <c r="C37">
        <v>208</v>
      </c>
      <c r="D37" t="s">
        <v>64</v>
      </c>
      <c r="E37" t="s">
        <v>59</v>
      </c>
      <c r="F37" t="s">
        <v>60</v>
      </c>
      <c r="G37">
        <v>30000</v>
      </c>
      <c r="H37">
        <v>0.5</v>
      </c>
      <c r="I37">
        <v>0.5</v>
      </c>
      <c r="J37">
        <v>0</v>
      </c>
      <c r="K37">
        <v>1</v>
      </c>
      <c r="L37">
        <v>20000000</v>
      </c>
      <c r="M37">
        <v>24</v>
      </c>
      <c r="N37">
        <v>24</v>
      </c>
      <c r="O37">
        <v>24</v>
      </c>
      <c r="P37">
        <v>0</v>
      </c>
      <c r="Q37" t="s">
        <v>61</v>
      </c>
      <c r="R37">
        <v>99974918711887</v>
      </c>
      <c r="S37">
        <v>9998784</v>
      </c>
      <c r="T37">
        <v>99974918711887</v>
      </c>
      <c r="U37">
        <v>9998784</v>
      </c>
      <c r="V37" t="s">
        <v>74</v>
      </c>
      <c r="W37">
        <v>9</v>
      </c>
      <c r="X37">
        <v>207513</v>
      </c>
      <c r="Y37">
        <v>1429091</v>
      </c>
      <c r="Z37">
        <v>1636604</v>
      </c>
      <c r="AA37">
        <v>9998784</v>
      </c>
      <c r="AB37">
        <v>7.8867500000000001</v>
      </c>
      <c r="AC37">
        <v>6.9965999999999999</v>
      </c>
      <c r="AD37">
        <v>8</v>
      </c>
      <c r="AE37">
        <v>340413632</v>
      </c>
      <c r="AI37" t="s">
        <v>190</v>
      </c>
      <c r="AP37">
        <v>908787362</v>
      </c>
      <c r="AQ37">
        <v>0</v>
      </c>
      <c r="AR37">
        <v>9175463</v>
      </c>
      <c r="AS37">
        <v>908787362</v>
      </c>
      <c r="AT37">
        <v>917962825</v>
      </c>
      <c r="AU37">
        <v>30292912</v>
      </c>
      <c r="AV37">
        <v>0</v>
      </c>
      <c r="AW37">
        <v>305848</v>
      </c>
      <c r="AX37">
        <v>30292912</v>
      </c>
      <c r="AY37">
        <v>30598760</v>
      </c>
      <c r="AZ37">
        <v>16.643599999999999</v>
      </c>
      <c r="BA37">
        <v>4.9991000000000003</v>
      </c>
      <c r="BB37">
        <v>2187.6</v>
      </c>
      <c r="BD37">
        <v>1440</v>
      </c>
      <c r="BE37">
        <v>838</v>
      </c>
      <c r="BF37" t="str">
        <f t="shared" si="0"/>
        <v>u=1%, k=2x10^7</v>
      </c>
      <c r="BG37">
        <f t="shared" si="1"/>
        <v>0</v>
      </c>
    </row>
    <row r="38" spans="1:59">
      <c r="A38" t="s">
        <v>191</v>
      </c>
      <c r="B38" t="s">
        <v>65</v>
      </c>
      <c r="C38">
        <v>208</v>
      </c>
      <c r="D38" t="s">
        <v>64</v>
      </c>
      <c r="E38" t="s">
        <v>59</v>
      </c>
      <c r="F38" t="s">
        <v>60</v>
      </c>
      <c r="G38">
        <v>30000</v>
      </c>
      <c r="H38">
        <v>0.5</v>
      </c>
      <c r="I38">
        <v>0.5</v>
      </c>
      <c r="J38">
        <v>0</v>
      </c>
      <c r="K38">
        <v>1</v>
      </c>
      <c r="L38">
        <v>20000000</v>
      </c>
      <c r="M38">
        <v>48</v>
      </c>
      <c r="N38">
        <v>48</v>
      </c>
      <c r="O38">
        <v>48</v>
      </c>
      <c r="P38">
        <v>0</v>
      </c>
      <c r="Q38" t="s">
        <v>61</v>
      </c>
      <c r="R38">
        <v>99995925766972</v>
      </c>
      <c r="S38">
        <v>9998280</v>
      </c>
      <c r="T38">
        <v>99995925766972</v>
      </c>
      <c r="U38">
        <v>9998280</v>
      </c>
      <c r="V38" t="s">
        <v>74</v>
      </c>
      <c r="W38">
        <v>9</v>
      </c>
      <c r="X38">
        <v>217852</v>
      </c>
      <c r="Y38">
        <v>1496940</v>
      </c>
      <c r="Z38">
        <v>1714792</v>
      </c>
      <c r="AA38">
        <v>9998280</v>
      </c>
      <c r="AB38">
        <v>7.8713600000000001</v>
      </c>
      <c r="AC38">
        <v>6.6791499999999999</v>
      </c>
      <c r="AD38">
        <v>8</v>
      </c>
      <c r="AE38">
        <v>356676736</v>
      </c>
      <c r="AI38" t="s">
        <v>192</v>
      </c>
      <c r="AP38">
        <v>1634715664</v>
      </c>
      <c r="AQ38">
        <v>0</v>
      </c>
      <c r="AR38">
        <v>16511772</v>
      </c>
      <c r="AS38">
        <v>1634715664</v>
      </c>
      <c r="AT38">
        <v>1651227436</v>
      </c>
      <c r="AU38">
        <v>54490522</v>
      </c>
      <c r="AV38">
        <v>0</v>
      </c>
      <c r="AW38">
        <v>550392</v>
      </c>
      <c r="AX38">
        <v>54490522</v>
      </c>
      <c r="AY38">
        <v>55040914</v>
      </c>
      <c r="AZ38">
        <v>16.8033</v>
      </c>
      <c r="BA38">
        <v>5.0492299999999997</v>
      </c>
      <c r="BB38">
        <v>2431.34</v>
      </c>
      <c r="BD38">
        <v>1509</v>
      </c>
      <c r="BE38">
        <v>745</v>
      </c>
      <c r="BF38" t="str">
        <f t="shared" si="0"/>
        <v>u=1%, k=2x10^7</v>
      </c>
      <c r="BG38">
        <f t="shared" si="1"/>
        <v>0</v>
      </c>
    </row>
    <row r="39" spans="1:59">
      <c r="A39" t="s">
        <v>193</v>
      </c>
      <c r="B39" t="s">
        <v>65</v>
      </c>
      <c r="C39">
        <v>208</v>
      </c>
      <c r="D39" t="s">
        <v>64</v>
      </c>
      <c r="E39" t="s">
        <v>59</v>
      </c>
      <c r="F39" t="s">
        <v>60</v>
      </c>
      <c r="G39">
        <v>30000</v>
      </c>
      <c r="H39">
        <v>0.5</v>
      </c>
      <c r="I39">
        <v>0.5</v>
      </c>
      <c r="J39">
        <v>0</v>
      </c>
      <c r="K39">
        <v>1</v>
      </c>
      <c r="L39">
        <v>20000000</v>
      </c>
      <c r="M39">
        <v>96</v>
      </c>
      <c r="N39">
        <v>96</v>
      </c>
      <c r="O39">
        <v>96</v>
      </c>
      <c r="P39">
        <v>0</v>
      </c>
      <c r="Q39" t="s">
        <v>61</v>
      </c>
      <c r="R39">
        <v>99980341151393</v>
      </c>
      <c r="S39">
        <v>9997580</v>
      </c>
      <c r="T39">
        <v>99980341151393</v>
      </c>
      <c r="U39">
        <v>9997580</v>
      </c>
      <c r="V39" t="s">
        <v>74</v>
      </c>
      <c r="W39">
        <v>9</v>
      </c>
      <c r="X39">
        <v>234389</v>
      </c>
      <c r="Y39">
        <v>1610548</v>
      </c>
      <c r="Z39">
        <v>1844937</v>
      </c>
      <c r="AA39">
        <v>9997580</v>
      </c>
      <c r="AB39">
        <v>7.8712600000000004</v>
      </c>
      <c r="AC39">
        <v>6.20756</v>
      </c>
      <c r="AD39">
        <v>8</v>
      </c>
      <c r="AE39">
        <v>383746896</v>
      </c>
      <c r="AI39" t="s">
        <v>194</v>
      </c>
      <c r="AP39">
        <v>3472348485</v>
      </c>
      <c r="AQ39">
        <v>0</v>
      </c>
      <c r="AR39">
        <v>35065339</v>
      </c>
      <c r="AS39">
        <v>3472348485</v>
      </c>
      <c r="AT39">
        <v>3507413824</v>
      </c>
      <c r="AU39">
        <v>115744949</v>
      </c>
      <c r="AV39">
        <v>0</v>
      </c>
      <c r="AW39">
        <v>1168844</v>
      </c>
      <c r="AX39">
        <v>115744949</v>
      </c>
      <c r="AY39">
        <v>116913794</v>
      </c>
      <c r="AZ39">
        <v>17.0395</v>
      </c>
      <c r="BA39">
        <v>5.57613</v>
      </c>
      <c r="BB39">
        <v>2278.0300000000002</v>
      </c>
      <c r="BD39">
        <v>1611</v>
      </c>
      <c r="BE39">
        <v>924</v>
      </c>
      <c r="BF39" t="str">
        <f t="shared" si="0"/>
        <v>u=1%, k=2x10^7</v>
      </c>
      <c r="BG39">
        <f t="shared" si="1"/>
        <v>0</v>
      </c>
    </row>
    <row r="40" spans="1:59">
      <c r="A40" t="s">
        <v>195</v>
      </c>
      <c r="B40" t="s">
        <v>65</v>
      </c>
      <c r="C40">
        <v>208</v>
      </c>
      <c r="D40" t="s">
        <v>64</v>
      </c>
      <c r="E40" t="s">
        <v>59</v>
      </c>
      <c r="F40" t="s">
        <v>60</v>
      </c>
      <c r="G40">
        <v>30000</v>
      </c>
      <c r="H40">
        <v>0.5</v>
      </c>
      <c r="I40">
        <v>0.5</v>
      </c>
      <c r="J40">
        <v>0</v>
      </c>
      <c r="K40">
        <v>1</v>
      </c>
      <c r="L40">
        <v>20000000</v>
      </c>
      <c r="M40">
        <v>144</v>
      </c>
      <c r="N40">
        <v>144</v>
      </c>
      <c r="O40">
        <v>144</v>
      </c>
      <c r="P40">
        <v>0</v>
      </c>
      <c r="Q40" t="s">
        <v>61</v>
      </c>
      <c r="R40">
        <v>100034719081662</v>
      </c>
      <c r="S40">
        <v>10002273</v>
      </c>
      <c r="T40">
        <v>100034719081662</v>
      </c>
      <c r="U40">
        <v>10002273</v>
      </c>
      <c r="V40" t="s">
        <v>74</v>
      </c>
      <c r="W40">
        <v>9</v>
      </c>
      <c r="X40">
        <v>244188</v>
      </c>
      <c r="Y40">
        <v>1679239</v>
      </c>
      <c r="Z40">
        <v>1923427</v>
      </c>
      <c r="AA40">
        <v>10002273</v>
      </c>
      <c r="AB40">
        <v>7.87683</v>
      </c>
      <c r="AC40">
        <v>5.9564300000000001</v>
      </c>
      <c r="AD40">
        <v>8</v>
      </c>
      <c r="AE40">
        <v>400072816</v>
      </c>
      <c r="AI40" t="s">
        <v>196</v>
      </c>
      <c r="AP40">
        <v>5116012805</v>
      </c>
      <c r="AQ40">
        <v>0</v>
      </c>
      <c r="AR40">
        <v>51685161</v>
      </c>
      <c r="AS40">
        <v>5116012805</v>
      </c>
      <c r="AT40">
        <v>5167697966</v>
      </c>
      <c r="AU40">
        <v>170533760</v>
      </c>
      <c r="AV40">
        <v>0</v>
      </c>
      <c r="AW40">
        <v>1722838</v>
      </c>
      <c r="AX40">
        <v>170533760</v>
      </c>
      <c r="AY40">
        <v>172256598</v>
      </c>
      <c r="AZ40">
        <v>17.1965</v>
      </c>
      <c r="BA40">
        <v>5.7356100000000003</v>
      </c>
      <c r="BB40">
        <v>2315.8200000000002</v>
      </c>
      <c r="BD40">
        <v>1653</v>
      </c>
      <c r="BE40">
        <v>809</v>
      </c>
      <c r="BF40" t="str">
        <f t="shared" si="0"/>
        <v>u=1%, k=2x10^7</v>
      </c>
      <c r="BG40">
        <f t="shared" si="1"/>
        <v>0</v>
      </c>
    </row>
    <row r="41" spans="1:59">
      <c r="A41" t="s">
        <v>197</v>
      </c>
      <c r="B41" t="s">
        <v>65</v>
      </c>
      <c r="C41">
        <v>208</v>
      </c>
      <c r="D41" t="s">
        <v>64</v>
      </c>
      <c r="E41" t="s">
        <v>59</v>
      </c>
      <c r="F41" t="s">
        <v>60</v>
      </c>
      <c r="G41">
        <v>30000</v>
      </c>
      <c r="H41">
        <v>0.5</v>
      </c>
      <c r="I41">
        <v>0.5</v>
      </c>
      <c r="J41">
        <v>0</v>
      </c>
      <c r="K41">
        <v>1</v>
      </c>
      <c r="L41">
        <v>20000000</v>
      </c>
      <c r="M41">
        <v>190</v>
      </c>
      <c r="N41">
        <v>190</v>
      </c>
      <c r="O41">
        <v>190</v>
      </c>
      <c r="P41">
        <v>0</v>
      </c>
      <c r="Q41" t="s">
        <v>61</v>
      </c>
      <c r="R41">
        <v>99962092156104</v>
      </c>
      <c r="S41">
        <v>9996735</v>
      </c>
      <c r="T41">
        <v>99962092156104</v>
      </c>
      <c r="U41">
        <v>9996735</v>
      </c>
      <c r="V41" t="s">
        <v>74</v>
      </c>
      <c r="W41">
        <v>9</v>
      </c>
      <c r="X41">
        <v>251882</v>
      </c>
      <c r="Y41">
        <v>1727927</v>
      </c>
      <c r="Z41">
        <v>1979809</v>
      </c>
      <c r="AA41">
        <v>9996735</v>
      </c>
      <c r="AB41">
        <v>7.8600700000000003</v>
      </c>
      <c r="AC41">
        <v>5.7853899999999996</v>
      </c>
      <c r="AD41">
        <v>8</v>
      </c>
      <c r="AE41">
        <v>411800272</v>
      </c>
      <c r="AI41" t="s">
        <v>198</v>
      </c>
      <c r="AP41">
        <v>6724083312</v>
      </c>
      <c r="AQ41">
        <v>0</v>
      </c>
      <c r="AR41">
        <v>67924065</v>
      </c>
      <c r="AS41">
        <v>6724083312</v>
      </c>
      <c r="AT41">
        <v>6792007377</v>
      </c>
      <c r="AU41">
        <v>224136110</v>
      </c>
      <c r="AV41">
        <v>0</v>
      </c>
      <c r="AW41">
        <v>2264135</v>
      </c>
      <c r="AX41">
        <v>224136110</v>
      </c>
      <c r="AY41">
        <v>226400245</v>
      </c>
      <c r="AZ41">
        <v>17.4361</v>
      </c>
      <c r="BA41">
        <v>5.8717699999999997</v>
      </c>
      <c r="BB41">
        <v>2322.17</v>
      </c>
      <c r="BD41">
        <v>1746</v>
      </c>
      <c r="BE41">
        <v>948</v>
      </c>
      <c r="BF41" t="str">
        <f t="shared" si="0"/>
        <v>u=1%, k=2x10^7</v>
      </c>
      <c r="BG41">
        <f t="shared" si="1"/>
        <v>0</v>
      </c>
    </row>
    <row r="42" spans="1:59">
      <c r="A42" t="s">
        <v>199</v>
      </c>
      <c r="B42" t="s">
        <v>66</v>
      </c>
      <c r="D42" t="s">
        <v>64</v>
      </c>
      <c r="E42" t="s">
        <v>59</v>
      </c>
      <c r="F42" t="s">
        <v>60</v>
      </c>
      <c r="G42">
        <v>30000</v>
      </c>
      <c r="H42">
        <v>0.5</v>
      </c>
      <c r="I42">
        <v>0.5</v>
      </c>
      <c r="J42">
        <v>0</v>
      </c>
      <c r="K42">
        <v>1</v>
      </c>
      <c r="L42">
        <v>20000000</v>
      </c>
      <c r="M42">
        <v>24</v>
      </c>
      <c r="N42">
        <v>24</v>
      </c>
      <c r="O42">
        <v>24</v>
      </c>
      <c r="P42">
        <v>0</v>
      </c>
      <c r="Q42" t="s">
        <v>61</v>
      </c>
      <c r="R42">
        <v>100002031311139</v>
      </c>
      <c r="S42">
        <v>10000512</v>
      </c>
      <c r="T42">
        <v>100002031311139</v>
      </c>
      <c r="U42">
        <v>10000512</v>
      </c>
      <c r="V42" t="s">
        <v>74</v>
      </c>
      <c r="W42">
        <v>29</v>
      </c>
      <c r="X42">
        <v>5934139</v>
      </c>
      <c r="Y42">
        <v>4466737</v>
      </c>
      <c r="Z42">
        <v>10400876</v>
      </c>
      <c r="AA42">
        <v>10000512</v>
      </c>
      <c r="AB42">
        <v>1.7527200000000001</v>
      </c>
      <c r="AC42">
        <v>2.23889</v>
      </c>
      <c r="AD42">
        <v>22.7989</v>
      </c>
      <c r="AE42">
        <v>582449056</v>
      </c>
      <c r="AI42" t="s">
        <v>200</v>
      </c>
      <c r="AP42">
        <v>413930263</v>
      </c>
      <c r="AQ42">
        <v>0</v>
      </c>
      <c r="AR42">
        <v>4181428</v>
      </c>
      <c r="AS42">
        <v>413930263</v>
      </c>
      <c r="AT42">
        <v>418111691</v>
      </c>
      <c r="AU42">
        <v>13797675</v>
      </c>
      <c r="AV42">
        <v>0</v>
      </c>
      <c r="AW42">
        <v>139380</v>
      </c>
      <c r="AX42">
        <v>13797675</v>
      </c>
      <c r="AY42">
        <v>13937056</v>
      </c>
      <c r="AZ42">
        <v>27.451899999999998</v>
      </c>
      <c r="BA42">
        <v>9.3230299999999993</v>
      </c>
      <c r="BB42">
        <v>4803.63</v>
      </c>
      <c r="BD42">
        <v>1742</v>
      </c>
      <c r="BE42">
        <v>1509</v>
      </c>
      <c r="BF42" t="str">
        <f t="shared" si="0"/>
        <v>u=1%, k=2x10^7</v>
      </c>
      <c r="BG42">
        <f t="shared" si="1"/>
        <v>0</v>
      </c>
    </row>
    <row r="43" spans="1:59">
      <c r="A43" t="s">
        <v>201</v>
      </c>
      <c r="B43" t="s">
        <v>66</v>
      </c>
      <c r="D43" t="s">
        <v>64</v>
      </c>
      <c r="E43" t="s">
        <v>59</v>
      </c>
      <c r="F43" t="s">
        <v>60</v>
      </c>
      <c r="G43">
        <v>30000</v>
      </c>
      <c r="H43">
        <v>0.5</v>
      </c>
      <c r="I43">
        <v>0.5</v>
      </c>
      <c r="J43">
        <v>0</v>
      </c>
      <c r="K43">
        <v>1</v>
      </c>
      <c r="L43">
        <v>20000000</v>
      </c>
      <c r="M43">
        <v>48</v>
      </c>
      <c r="N43">
        <v>48</v>
      </c>
      <c r="O43">
        <v>48</v>
      </c>
      <c r="P43">
        <v>0</v>
      </c>
      <c r="Q43" t="s">
        <v>61</v>
      </c>
      <c r="R43">
        <v>100010786365901</v>
      </c>
      <c r="S43">
        <v>10001179</v>
      </c>
      <c r="T43">
        <v>100010786365901</v>
      </c>
      <c r="U43">
        <v>10001179</v>
      </c>
      <c r="V43" t="s">
        <v>74</v>
      </c>
      <c r="W43">
        <v>29</v>
      </c>
      <c r="X43">
        <v>6089262</v>
      </c>
      <c r="Y43">
        <v>4591156</v>
      </c>
      <c r="Z43">
        <v>10680418</v>
      </c>
      <c r="AA43">
        <v>10001179</v>
      </c>
      <c r="AB43">
        <v>1.7539800000000001</v>
      </c>
      <c r="AC43">
        <v>2.1783600000000001</v>
      </c>
      <c r="AD43">
        <v>22.856999999999999</v>
      </c>
      <c r="AE43">
        <v>598103408</v>
      </c>
      <c r="AI43" t="s">
        <v>202</v>
      </c>
      <c r="AP43">
        <v>773926152</v>
      </c>
      <c r="AQ43">
        <v>0</v>
      </c>
      <c r="AR43">
        <v>7820524</v>
      </c>
      <c r="AS43">
        <v>773926152</v>
      </c>
      <c r="AT43">
        <v>781746676</v>
      </c>
      <c r="AU43">
        <v>25797538</v>
      </c>
      <c r="AV43">
        <v>0</v>
      </c>
      <c r="AW43">
        <v>260684</v>
      </c>
      <c r="AX43">
        <v>25797538</v>
      </c>
      <c r="AY43">
        <v>26058222</v>
      </c>
      <c r="AZ43">
        <v>28.368200000000002</v>
      </c>
      <c r="BA43">
        <v>9.4314300000000006</v>
      </c>
      <c r="BB43">
        <v>5136.9399999999996</v>
      </c>
      <c r="BD43">
        <v>1766</v>
      </c>
      <c r="BE43">
        <v>1031</v>
      </c>
      <c r="BF43" t="str">
        <f t="shared" si="0"/>
        <v>u=1%, k=2x10^7</v>
      </c>
      <c r="BG43">
        <f t="shared" si="1"/>
        <v>0</v>
      </c>
    </row>
    <row r="44" spans="1:59">
      <c r="A44" t="s">
        <v>203</v>
      </c>
      <c r="B44" t="s">
        <v>66</v>
      </c>
      <c r="D44" t="s">
        <v>64</v>
      </c>
      <c r="E44" t="s">
        <v>59</v>
      </c>
      <c r="F44" t="s">
        <v>60</v>
      </c>
      <c r="G44">
        <v>30000</v>
      </c>
      <c r="H44">
        <v>0.5</v>
      </c>
      <c r="I44">
        <v>0.5</v>
      </c>
      <c r="J44">
        <v>0</v>
      </c>
      <c r="K44">
        <v>1</v>
      </c>
      <c r="L44">
        <v>20000000</v>
      </c>
      <c r="M44">
        <v>96</v>
      </c>
      <c r="N44">
        <v>96</v>
      </c>
      <c r="O44">
        <v>96</v>
      </c>
      <c r="P44">
        <v>0</v>
      </c>
      <c r="Q44" t="s">
        <v>61</v>
      </c>
      <c r="R44">
        <v>99965913317947</v>
      </c>
      <c r="S44">
        <v>9996965</v>
      </c>
      <c r="T44">
        <v>99965913317947</v>
      </c>
      <c r="U44">
        <v>9996965</v>
      </c>
      <c r="V44" t="s">
        <v>74</v>
      </c>
      <c r="W44">
        <v>29</v>
      </c>
      <c r="X44">
        <v>6380083</v>
      </c>
      <c r="Y44">
        <v>4823536</v>
      </c>
      <c r="Z44">
        <v>11203619</v>
      </c>
      <c r="AA44">
        <v>9996965</v>
      </c>
      <c r="AB44">
        <v>1.75603</v>
      </c>
      <c r="AC44">
        <v>2.07254</v>
      </c>
      <c r="AD44">
        <v>23.0137</v>
      </c>
      <c r="AE44">
        <v>627402664</v>
      </c>
      <c r="AI44" t="s">
        <v>204</v>
      </c>
      <c r="AP44">
        <v>1713339101</v>
      </c>
      <c r="AQ44">
        <v>0</v>
      </c>
      <c r="AR44">
        <v>17312398</v>
      </c>
      <c r="AS44">
        <v>1713339101</v>
      </c>
      <c r="AT44">
        <v>1730651499</v>
      </c>
      <c r="AU44">
        <v>57111303</v>
      </c>
      <c r="AV44">
        <v>0</v>
      </c>
      <c r="AW44">
        <v>577079</v>
      </c>
      <c r="AX44">
        <v>57111303</v>
      </c>
      <c r="AY44">
        <v>57688383</v>
      </c>
      <c r="AZ44">
        <v>28.7102</v>
      </c>
      <c r="BA44">
        <v>10.665699999999999</v>
      </c>
      <c r="BB44">
        <v>4632.8</v>
      </c>
      <c r="BD44">
        <v>1815</v>
      </c>
      <c r="BE44">
        <v>765</v>
      </c>
      <c r="BF44" t="str">
        <f t="shared" si="0"/>
        <v>u=1%, k=2x10^7</v>
      </c>
      <c r="BG44">
        <f t="shared" si="1"/>
        <v>0</v>
      </c>
    </row>
    <row r="45" spans="1:59">
      <c r="A45" t="s">
        <v>205</v>
      </c>
      <c r="B45" t="s">
        <v>66</v>
      </c>
      <c r="D45" t="s">
        <v>64</v>
      </c>
      <c r="E45" t="s">
        <v>59</v>
      </c>
      <c r="F45" t="s">
        <v>60</v>
      </c>
      <c r="G45">
        <v>30000</v>
      </c>
      <c r="H45">
        <v>0.5</v>
      </c>
      <c r="I45">
        <v>0.5</v>
      </c>
      <c r="J45">
        <v>0</v>
      </c>
      <c r="K45">
        <v>1</v>
      </c>
      <c r="L45">
        <v>20000000</v>
      </c>
      <c r="M45">
        <v>144</v>
      </c>
      <c r="N45">
        <v>144</v>
      </c>
      <c r="O45">
        <v>144</v>
      </c>
      <c r="P45">
        <v>0</v>
      </c>
      <c r="Q45" t="s">
        <v>61</v>
      </c>
      <c r="R45">
        <v>99971251409630</v>
      </c>
      <c r="S45">
        <v>9998062</v>
      </c>
      <c r="T45">
        <v>99971251409630</v>
      </c>
      <c r="U45">
        <v>9998062</v>
      </c>
      <c r="V45" t="s">
        <v>74</v>
      </c>
      <c r="W45">
        <v>29</v>
      </c>
      <c r="X45">
        <v>6553147</v>
      </c>
      <c r="Y45">
        <v>4961351</v>
      </c>
      <c r="Z45">
        <v>11514498</v>
      </c>
      <c r="AA45">
        <v>9998062</v>
      </c>
      <c r="AB45">
        <v>1.75709</v>
      </c>
      <c r="AC45">
        <v>2.01519</v>
      </c>
      <c r="AD45">
        <v>23.1357</v>
      </c>
      <c r="AE45">
        <v>644811888</v>
      </c>
      <c r="AI45" t="s">
        <v>206</v>
      </c>
      <c r="AP45">
        <v>2587868564</v>
      </c>
      <c r="AQ45">
        <v>0</v>
      </c>
      <c r="AR45">
        <v>26138548</v>
      </c>
      <c r="AS45">
        <v>2587868564</v>
      </c>
      <c r="AT45">
        <v>2614007112</v>
      </c>
      <c r="AU45">
        <v>86262285</v>
      </c>
      <c r="AV45">
        <v>0</v>
      </c>
      <c r="AW45">
        <v>871284</v>
      </c>
      <c r="AX45">
        <v>86262285</v>
      </c>
      <c r="AY45">
        <v>87133570</v>
      </c>
      <c r="AZ45">
        <v>28.8431</v>
      </c>
      <c r="BA45">
        <v>10.8551</v>
      </c>
      <c r="BB45">
        <v>4597.5</v>
      </c>
      <c r="BD45">
        <v>1852</v>
      </c>
      <c r="BE45">
        <v>459</v>
      </c>
      <c r="BF45" t="str">
        <f t="shared" si="0"/>
        <v>u=1%, k=2x10^7</v>
      </c>
      <c r="BG45">
        <f t="shared" si="1"/>
        <v>0</v>
      </c>
    </row>
    <row r="46" spans="1:59">
      <c r="A46" t="s">
        <v>207</v>
      </c>
      <c r="B46" t="s">
        <v>66</v>
      </c>
      <c r="D46" t="s">
        <v>64</v>
      </c>
      <c r="E46" t="s">
        <v>59</v>
      </c>
      <c r="F46" t="s">
        <v>60</v>
      </c>
      <c r="G46">
        <v>30000</v>
      </c>
      <c r="H46">
        <v>0.5</v>
      </c>
      <c r="I46">
        <v>0.5</v>
      </c>
      <c r="J46">
        <v>0</v>
      </c>
      <c r="K46">
        <v>1</v>
      </c>
      <c r="L46">
        <v>20000000</v>
      </c>
      <c r="M46">
        <v>190</v>
      </c>
      <c r="N46">
        <v>190</v>
      </c>
      <c r="O46">
        <v>190</v>
      </c>
      <c r="P46">
        <v>0</v>
      </c>
      <c r="Q46" t="s">
        <v>61</v>
      </c>
      <c r="R46">
        <v>100006277593484</v>
      </c>
      <c r="S46">
        <v>9999469</v>
      </c>
      <c r="T46">
        <v>100006277593484</v>
      </c>
      <c r="U46">
        <v>9999469</v>
      </c>
      <c r="V46" t="s">
        <v>74</v>
      </c>
      <c r="W46">
        <v>29</v>
      </c>
      <c r="X46">
        <v>6658083</v>
      </c>
      <c r="Y46">
        <v>5043063</v>
      </c>
      <c r="Z46">
        <v>11701146</v>
      </c>
      <c r="AA46">
        <v>9999469</v>
      </c>
      <c r="AB46">
        <v>1.75743</v>
      </c>
      <c r="AC46">
        <v>1.98282</v>
      </c>
      <c r="AD46">
        <v>23.188700000000001</v>
      </c>
      <c r="AE46">
        <v>655264176</v>
      </c>
      <c r="AI46" t="s">
        <v>208</v>
      </c>
      <c r="AP46">
        <v>3406178159</v>
      </c>
      <c r="AQ46">
        <v>0</v>
      </c>
      <c r="AR46">
        <v>34409825</v>
      </c>
      <c r="AS46">
        <v>3406178159</v>
      </c>
      <c r="AT46">
        <v>3440587984</v>
      </c>
      <c r="AU46">
        <v>113539271</v>
      </c>
      <c r="AV46">
        <v>0</v>
      </c>
      <c r="AW46">
        <v>1146994</v>
      </c>
      <c r="AX46">
        <v>113539271</v>
      </c>
      <c r="AY46">
        <v>114686266</v>
      </c>
      <c r="AZ46">
        <v>28.9071</v>
      </c>
      <c r="BA46">
        <v>10.9572</v>
      </c>
      <c r="BB46">
        <v>4597.75</v>
      </c>
      <c r="BD46">
        <v>1876</v>
      </c>
      <c r="BE46">
        <v>488</v>
      </c>
      <c r="BF46" t="str">
        <f t="shared" si="0"/>
        <v>u=1%, k=2x10^7</v>
      </c>
      <c r="BG46">
        <f t="shared" si="1"/>
        <v>0</v>
      </c>
    </row>
    <row r="47" spans="1:59">
      <c r="A47" t="s">
        <v>209</v>
      </c>
      <c r="B47" t="s">
        <v>67</v>
      </c>
      <c r="D47" t="s">
        <v>64</v>
      </c>
      <c r="E47" t="s">
        <v>59</v>
      </c>
      <c r="F47" t="s">
        <v>60</v>
      </c>
      <c r="G47">
        <v>30000</v>
      </c>
      <c r="H47">
        <v>0.5</v>
      </c>
      <c r="I47">
        <v>0.5</v>
      </c>
      <c r="J47">
        <v>0</v>
      </c>
      <c r="K47">
        <v>1</v>
      </c>
      <c r="L47">
        <v>20000000</v>
      </c>
      <c r="M47">
        <v>24</v>
      </c>
      <c r="N47">
        <v>24</v>
      </c>
      <c r="O47">
        <v>24</v>
      </c>
      <c r="P47">
        <v>0</v>
      </c>
      <c r="Q47" t="s">
        <v>61</v>
      </c>
      <c r="R47">
        <v>99991798358862</v>
      </c>
      <c r="S47">
        <v>10000006</v>
      </c>
      <c r="T47">
        <v>99991798358862</v>
      </c>
      <c r="U47">
        <v>10000006</v>
      </c>
      <c r="V47" t="s">
        <v>74</v>
      </c>
      <c r="W47">
        <v>58</v>
      </c>
      <c r="X47">
        <v>10000005</v>
      </c>
      <c r="Y47">
        <v>10000006</v>
      </c>
      <c r="Z47">
        <v>20000011</v>
      </c>
      <c r="AA47">
        <v>10000006</v>
      </c>
      <c r="AB47">
        <v>2</v>
      </c>
      <c r="AC47">
        <v>1</v>
      </c>
      <c r="AD47">
        <v>31.125699999999998</v>
      </c>
      <c r="AE47">
        <v>640000352</v>
      </c>
      <c r="AI47" t="s">
        <v>210</v>
      </c>
      <c r="AP47">
        <v>332385133</v>
      </c>
      <c r="AQ47">
        <v>0</v>
      </c>
      <c r="AR47">
        <v>3356720</v>
      </c>
      <c r="AS47">
        <v>332385133</v>
      </c>
      <c r="AT47">
        <v>335741853</v>
      </c>
      <c r="AU47">
        <v>11079504</v>
      </c>
      <c r="AV47">
        <v>0</v>
      </c>
      <c r="AW47">
        <v>111890</v>
      </c>
      <c r="AX47">
        <v>11079504</v>
      </c>
      <c r="AY47">
        <v>11191395</v>
      </c>
      <c r="AZ47">
        <v>24.337</v>
      </c>
      <c r="BA47">
        <v>8.6886899999999994</v>
      </c>
      <c r="BB47">
        <v>5982.77</v>
      </c>
      <c r="BD47">
        <v>1717</v>
      </c>
      <c r="BE47">
        <v>1517</v>
      </c>
      <c r="BF47" t="str">
        <f t="shared" si="0"/>
        <v>u=1%, k=2x10^7</v>
      </c>
      <c r="BG47">
        <f t="shared" si="1"/>
        <v>0</v>
      </c>
    </row>
    <row r="48" spans="1:59">
      <c r="A48" t="s">
        <v>211</v>
      </c>
      <c r="B48" t="s">
        <v>67</v>
      </c>
      <c r="D48" t="s">
        <v>64</v>
      </c>
      <c r="E48" t="s">
        <v>59</v>
      </c>
      <c r="F48" t="s">
        <v>60</v>
      </c>
      <c r="G48">
        <v>30000</v>
      </c>
      <c r="H48">
        <v>0.5</v>
      </c>
      <c r="I48">
        <v>0.5</v>
      </c>
      <c r="J48">
        <v>0</v>
      </c>
      <c r="K48">
        <v>1</v>
      </c>
      <c r="L48">
        <v>20000000</v>
      </c>
      <c r="M48">
        <v>48</v>
      </c>
      <c r="N48">
        <v>48</v>
      </c>
      <c r="O48">
        <v>48</v>
      </c>
      <c r="P48">
        <v>0</v>
      </c>
      <c r="Q48" t="s">
        <v>61</v>
      </c>
      <c r="R48">
        <v>100031622117229</v>
      </c>
      <c r="S48">
        <v>10002599</v>
      </c>
      <c r="T48">
        <v>100031622117229</v>
      </c>
      <c r="U48">
        <v>10002599</v>
      </c>
      <c r="V48" t="s">
        <v>74</v>
      </c>
      <c r="W48">
        <v>60</v>
      </c>
      <c r="X48">
        <v>10002598</v>
      </c>
      <c r="Y48">
        <v>10002599</v>
      </c>
      <c r="Z48">
        <v>20005197</v>
      </c>
      <c r="AA48">
        <v>10002599</v>
      </c>
      <c r="AB48">
        <v>2</v>
      </c>
      <c r="AC48">
        <v>1</v>
      </c>
      <c r="AD48">
        <v>31.014800000000001</v>
      </c>
      <c r="AE48">
        <v>640166304</v>
      </c>
      <c r="AI48" t="s">
        <v>212</v>
      </c>
      <c r="AP48">
        <v>636899565</v>
      </c>
      <c r="AQ48">
        <v>0</v>
      </c>
      <c r="AR48">
        <v>6440020</v>
      </c>
      <c r="AS48">
        <v>636899565</v>
      </c>
      <c r="AT48">
        <v>643339585</v>
      </c>
      <c r="AU48">
        <v>21229985</v>
      </c>
      <c r="AV48">
        <v>0</v>
      </c>
      <c r="AW48">
        <v>214667</v>
      </c>
      <c r="AX48">
        <v>21229985</v>
      </c>
      <c r="AY48">
        <v>21444652</v>
      </c>
      <c r="AZ48">
        <v>24.3627</v>
      </c>
      <c r="BA48">
        <v>8.73705</v>
      </c>
      <c r="BB48">
        <v>6243.44</v>
      </c>
      <c r="BD48">
        <v>1724</v>
      </c>
      <c r="BE48">
        <v>1068</v>
      </c>
      <c r="BF48" t="str">
        <f t="shared" si="0"/>
        <v>u=1%, k=2x10^7</v>
      </c>
      <c r="BG48">
        <f t="shared" si="1"/>
        <v>0</v>
      </c>
    </row>
    <row r="49" spans="1:59">
      <c r="A49" t="s">
        <v>213</v>
      </c>
      <c r="B49" t="s">
        <v>67</v>
      </c>
      <c r="D49" t="s">
        <v>64</v>
      </c>
      <c r="E49" t="s">
        <v>59</v>
      </c>
      <c r="F49" t="s">
        <v>60</v>
      </c>
      <c r="G49">
        <v>30000</v>
      </c>
      <c r="H49">
        <v>0.5</v>
      </c>
      <c r="I49">
        <v>0.5</v>
      </c>
      <c r="J49">
        <v>0</v>
      </c>
      <c r="K49">
        <v>1</v>
      </c>
      <c r="L49">
        <v>20000000</v>
      </c>
      <c r="M49">
        <v>96</v>
      </c>
      <c r="N49">
        <v>96</v>
      </c>
      <c r="O49">
        <v>96</v>
      </c>
      <c r="P49">
        <v>0</v>
      </c>
      <c r="Q49" t="s">
        <v>61</v>
      </c>
      <c r="R49">
        <v>100002916708401</v>
      </c>
      <c r="S49">
        <v>9999064</v>
      </c>
      <c r="T49">
        <v>100002916708401</v>
      </c>
      <c r="U49">
        <v>9999064</v>
      </c>
      <c r="V49" t="s">
        <v>74</v>
      </c>
      <c r="W49">
        <v>59</v>
      </c>
      <c r="X49">
        <v>9999063</v>
      </c>
      <c r="Y49">
        <v>9999064</v>
      </c>
      <c r="Z49">
        <v>19998127</v>
      </c>
      <c r="AA49">
        <v>9999064</v>
      </c>
      <c r="AB49">
        <v>2</v>
      </c>
      <c r="AC49">
        <v>1</v>
      </c>
      <c r="AD49">
        <v>31.4986</v>
      </c>
      <c r="AE49">
        <v>639940064</v>
      </c>
      <c r="AI49" t="s">
        <v>214</v>
      </c>
      <c r="AP49">
        <v>1453008736</v>
      </c>
      <c r="AQ49">
        <v>0</v>
      </c>
      <c r="AR49">
        <v>14682197</v>
      </c>
      <c r="AS49">
        <v>1453008736</v>
      </c>
      <c r="AT49">
        <v>1467690933</v>
      </c>
      <c r="AU49">
        <v>48433624</v>
      </c>
      <c r="AV49">
        <v>0</v>
      </c>
      <c r="AW49">
        <v>489406</v>
      </c>
      <c r="AX49">
        <v>48433624</v>
      </c>
      <c r="AY49">
        <v>48923031</v>
      </c>
      <c r="AZ49">
        <v>25.026499999999999</v>
      </c>
      <c r="BA49">
        <v>10.039400000000001</v>
      </c>
      <c r="BB49">
        <v>5465.45</v>
      </c>
      <c r="BD49">
        <v>1739</v>
      </c>
      <c r="BE49">
        <v>734</v>
      </c>
      <c r="BF49" t="str">
        <f t="shared" si="0"/>
        <v>u=1%, k=2x10^7</v>
      </c>
      <c r="BG49">
        <f t="shared" si="1"/>
        <v>0</v>
      </c>
    </row>
    <row r="50" spans="1:59">
      <c r="A50" t="s">
        <v>215</v>
      </c>
      <c r="B50" t="s">
        <v>67</v>
      </c>
      <c r="D50" t="s">
        <v>64</v>
      </c>
      <c r="E50" t="s">
        <v>59</v>
      </c>
      <c r="F50" t="s">
        <v>60</v>
      </c>
      <c r="G50">
        <v>30000</v>
      </c>
      <c r="H50">
        <v>0.5</v>
      </c>
      <c r="I50">
        <v>0.5</v>
      </c>
      <c r="J50">
        <v>0</v>
      </c>
      <c r="K50">
        <v>1</v>
      </c>
      <c r="L50">
        <v>20000000</v>
      </c>
      <c r="M50">
        <v>144</v>
      </c>
      <c r="N50">
        <v>144</v>
      </c>
      <c r="O50">
        <v>144</v>
      </c>
      <c r="P50">
        <v>0</v>
      </c>
      <c r="Q50" t="s">
        <v>61</v>
      </c>
      <c r="R50">
        <v>99997640220045</v>
      </c>
      <c r="S50">
        <v>10000269</v>
      </c>
      <c r="T50">
        <v>99997640220045</v>
      </c>
      <c r="U50">
        <v>10000269</v>
      </c>
      <c r="V50" t="s">
        <v>74</v>
      </c>
      <c r="W50">
        <v>60</v>
      </c>
      <c r="X50">
        <v>10000268</v>
      </c>
      <c r="Y50">
        <v>10000269</v>
      </c>
      <c r="Z50">
        <v>20000537</v>
      </c>
      <c r="AA50">
        <v>10000269</v>
      </c>
      <c r="AB50">
        <v>2</v>
      </c>
      <c r="AC50">
        <v>1</v>
      </c>
      <c r="AD50">
        <v>32.364100000000001</v>
      </c>
      <c r="AE50">
        <v>640017184</v>
      </c>
      <c r="AI50" t="s">
        <v>216</v>
      </c>
      <c r="AP50">
        <v>2200025211</v>
      </c>
      <c r="AQ50">
        <v>0</v>
      </c>
      <c r="AR50">
        <v>22219630</v>
      </c>
      <c r="AS50">
        <v>2200025211</v>
      </c>
      <c r="AT50">
        <v>2222244841</v>
      </c>
      <c r="AU50">
        <v>73334173</v>
      </c>
      <c r="AV50">
        <v>0</v>
      </c>
      <c r="AW50">
        <v>740654</v>
      </c>
      <c r="AX50">
        <v>73334173</v>
      </c>
      <c r="AY50">
        <v>74074828</v>
      </c>
      <c r="AZ50">
        <v>25.275200000000002</v>
      </c>
      <c r="BA50">
        <v>10.2234</v>
      </c>
      <c r="BB50">
        <v>5412.49</v>
      </c>
      <c r="BD50">
        <v>1755</v>
      </c>
      <c r="BE50">
        <v>452</v>
      </c>
      <c r="BF50" t="str">
        <f t="shared" si="0"/>
        <v>u=1%, k=2x10^7</v>
      </c>
      <c r="BG50">
        <f t="shared" si="1"/>
        <v>0</v>
      </c>
    </row>
    <row r="51" spans="1:59">
      <c r="A51" t="s">
        <v>217</v>
      </c>
      <c r="B51" t="s">
        <v>67</v>
      </c>
      <c r="D51" t="s">
        <v>64</v>
      </c>
      <c r="E51" t="s">
        <v>59</v>
      </c>
      <c r="F51" t="s">
        <v>60</v>
      </c>
      <c r="G51">
        <v>30000</v>
      </c>
      <c r="H51">
        <v>0.5</v>
      </c>
      <c r="I51">
        <v>0.5</v>
      </c>
      <c r="J51">
        <v>0</v>
      </c>
      <c r="K51">
        <v>1</v>
      </c>
      <c r="L51">
        <v>20000000</v>
      </c>
      <c r="M51">
        <v>190</v>
      </c>
      <c r="N51">
        <v>190</v>
      </c>
      <c r="O51">
        <v>190</v>
      </c>
      <c r="P51">
        <v>0</v>
      </c>
      <c r="Q51" t="s">
        <v>61</v>
      </c>
      <c r="R51">
        <v>100001630198101</v>
      </c>
      <c r="S51">
        <v>10000535</v>
      </c>
      <c r="T51">
        <v>100001630198101</v>
      </c>
      <c r="U51">
        <v>10000535</v>
      </c>
      <c r="V51" t="s">
        <v>74</v>
      </c>
      <c r="W51">
        <v>61</v>
      </c>
      <c r="X51">
        <v>10000534</v>
      </c>
      <c r="Y51">
        <v>10000535</v>
      </c>
      <c r="Z51">
        <v>20001069</v>
      </c>
      <c r="AA51">
        <v>10000535</v>
      </c>
      <c r="AB51">
        <v>2</v>
      </c>
      <c r="AC51">
        <v>1</v>
      </c>
      <c r="AD51">
        <v>31.4739</v>
      </c>
      <c r="AE51">
        <v>640034208</v>
      </c>
      <c r="AI51" t="s">
        <v>218</v>
      </c>
      <c r="AP51">
        <v>2926889928</v>
      </c>
      <c r="AQ51">
        <v>0</v>
      </c>
      <c r="AR51">
        <v>29573888</v>
      </c>
      <c r="AS51">
        <v>2926889928</v>
      </c>
      <c r="AT51">
        <v>2956463816</v>
      </c>
      <c r="AU51">
        <v>97562997</v>
      </c>
      <c r="AV51">
        <v>0</v>
      </c>
      <c r="AW51">
        <v>985796</v>
      </c>
      <c r="AX51">
        <v>97562997</v>
      </c>
      <c r="AY51">
        <v>98548793</v>
      </c>
      <c r="AZ51">
        <v>25.487400000000001</v>
      </c>
      <c r="BA51">
        <v>10.347</v>
      </c>
      <c r="BB51">
        <v>5365.62</v>
      </c>
      <c r="BD51">
        <v>1771</v>
      </c>
      <c r="BE51">
        <v>464</v>
      </c>
      <c r="BF51" t="str">
        <f t="shared" si="0"/>
        <v>u=1%, k=2x10^7</v>
      </c>
      <c r="BG51">
        <f t="shared" si="1"/>
        <v>0</v>
      </c>
    </row>
    <row r="52" spans="1:59">
      <c r="A52" t="s">
        <v>219</v>
      </c>
      <c r="B52" t="s">
        <v>108</v>
      </c>
      <c r="D52" t="s">
        <v>64</v>
      </c>
      <c r="E52" t="s">
        <v>59</v>
      </c>
      <c r="F52" t="s">
        <v>60</v>
      </c>
      <c r="G52">
        <v>30000</v>
      </c>
      <c r="H52">
        <v>20</v>
      </c>
      <c r="I52">
        <v>20</v>
      </c>
      <c r="J52">
        <v>0</v>
      </c>
      <c r="K52">
        <v>1</v>
      </c>
      <c r="L52">
        <v>20000000</v>
      </c>
      <c r="M52">
        <v>24</v>
      </c>
      <c r="N52">
        <v>24</v>
      </c>
      <c r="O52">
        <v>24</v>
      </c>
      <c r="P52">
        <v>0</v>
      </c>
      <c r="Q52" t="s">
        <v>61</v>
      </c>
      <c r="R52">
        <v>100029681703490</v>
      </c>
      <c r="S52">
        <v>10001924</v>
      </c>
      <c r="T52">
        <v>100029681703490</v>
      </c>
      <c r="U52">
        <v>10001924</v>
      </c>
      <c r="V52" t="s">
        <v>74</v>
      </c>
      <c r="W52">
        <v>61</v>
      </c>
      <c r="X52">
        <v>10001925</v>
      </c>
      <c r="Y52">
        <v>10001926</v>
      </c>
      <c r="Z52">
        <v>20003851</v>
      </c>
      <c r="AA52">
        <v>10001924</v>
      </c>
      <c r="AB52">
        <v>2</v>
      </c>
      <c r="AC52">
        <v>1</v>
      </c>
      <c r="AD52">
        <v>32.968000000000004</v>
      </c>
      <c r="AE52">
        <v>800154040</v>
      </c>
      <c r="AI52" t="s">
        <v>220</v>
      </c>
      <c r="AP52">
        <v>167068158</v>
      </c>
      <c r="AQ52">
        <v>0</v>
      </c>
      <c r="AR52">
        <v>111372212</v>
      </c>
      <c r="AS52">
        <v>167068158</v>
      </c>
      <c r="AT52">
        <v>278440370</v>
      </c>
      <c r="AU52">
        <v>5568938</v>
      </c>
      <c r="AV52">
        <v>0</v>
      </c>
      <c r="AW52">
        <v>3712407</v>
      </c>
      <c r="AX52">
        <v>5568938</v>
      </c>
      <c r="AY52">
        <v>9281345</v>
      </c>
      <c r="AZ52">
        <v>40.107199999999999</v>
      </c>
      <c r="BA52">
        <v>14.9427</v>
      </c>
      <c r="BB52">
        <v>7212.48</v>
      </c>
      <c r="BD52">
        <v>2087</v>
      </c>
      <c r="BE52">
        <v>1949</v>
      </c>
      <c r="BF52" t="str">
        <f t="shared" si="0"/>
        <v>u=40%, k=2x10^7</v>
      </c>
      <c r="BG52">
        <f t="shared" si="1"/>
        <v>0</v>
      </c>
    </row>
    <row r="53" spans="1:59">
      <c r="A53" t="s">
        <v>221</v>
      </c>
      <c r="B53" t="s">
        <v>108</v>
      </c>
      <c r="D53" t="s">
        <v>64</v>
      </c>
      <c r="E53" t="s">
        <v>59</v>
      </c>
      <c r="F53" t="s">
        <v>60</v>
      </c>
      <c r="G53">
        <v>30000</v>
      </c>
      <c r="H53">
        <v>20</v>
      </c>
      <c r="I53">
        <v>20</v>
      </c>
      <c r="J53">
        <v>0</v>
      </c>
      <c r="K53">
        <v>1</v>
      </c>
      <c r="L53">
        <v>20000000</v>
      </c>
      <c r="M53">
        <v>48</v>
      </c>
      <c r="N53">
        <v>48</v>
      </c>
      <c r="O53">
        <v>48</v>
      </c>
      <c r="P53">
        <v>0</v>
      </c>
      <c r="Q53" t="s">
        <v>61</v>
      </c>
      <c r="R53">
        <v>100014242012055</v>
      </c>
      <c r="S53">
        <v>9999002</v>
      </c>
      <c r="T53">
        <v>100014242012055</v>
      </c>
      <c r="U53">
        <v>9999002</v>
      </c>
      <c r="V53" t="s">
        <v>74</v>
      </c>
      <c r="W53">
        <v>59</v>
      </c>
      <c r="X53">
        <v>9999003</v>
      </c>
      <c r="Y53">
        <v>9999004</v>
      </c>
      <c r="Z53">
        <v>19998007</v>
      </c>
      <c r="AA53">
        <v>9999002</v>
      </c>
      <c r="AB53">
        <v>2</v>
      </c>
      <c r="AC53">
        <v>1</v>
      </c>
      <c r="AD53">
        <v>32.368699999999997</v>
      </c>
      <c r="AE53">
        <v>799920280</v>
      </c>
      <c r="AI53" t="s">
        <v>222</v>
      </c>
      <c r="AP53">
        <v>315030067</v>
      </c>
      <c r="AQ53">
        <v>0</v>
      </c>
      <c r="AR53">
        <v>209992717</v>
      </c>
      <c r="AS53">
        <v>315030067</v>
      </c>
      <c r="AT53">
        <v>525022784</v>
      </c>
      <c r="AU53">
        <v>10501002</v>
      </c>
      <c r="AV53">
        <v>0</v>
      </c>
      <c r="AW53">
        <v>6999757</v>
      </c>
      <c r="AX53">
        <v>10501002</v>
      </c>
      <c r="AY53">
        <v>17500759</v>
      </c>
      <c r="AZ53">
        <v>41.967599999999997</v>
      </c>
      <c r="BA53">
        <v>15.1744</v>
      </c>
      <c r="BB53">
        <v>7644.56</v>
      </c>
      <c r="BD53">
        <v>2451</v>
      </c>
      <c r="BE53">
        <v>1513</v>
      </c>
      <c r="BF53" t="str">
        <f t="shared" si="0"/>
        <v>u=40%, k=2x10^7</v>
      </c>
      <c r="BG53">
        <f t="shared" si="1"/>
        <v>0</v>
      </c>
    </row>
    <row r="54" spans="1:59">
      <c r="A54" t="s">
        <v>223</v>
      </c>
      <c r="B54" t="s">
        <v>108</v>
      </c>
      <c r="D54" t="s">
        <v>64</v>
      </c>
      <c r="E54" t="s">
        <v>59</v>
      </c>
      <c r="F54" t="s">
        <v>60</v>
      </c>
      <c r="G54">
        <v>30000</v>
      </c>
      <c r="H54">
        <v>20</v>
      </c>
      <c r="I54">
        <v>20</v>
      </c>
      <c r="J54">
        <v>0</v>
      </c>
      <c r="K54">
        <v>1</v>
      </c>
      <c r="L54">
        <v>20000000</v>
      </c>
      <c r="M54">
        <v>96</v>
      </c>
      <c r="N54">
        <v>96</v>
      </c>
      <c r="O54">
        <v>96</v>
      </c>
      <c r="P54">
        <v>0</v>
      </c>
      <c r="Q54" t="s">
        <v>61</v>
      </c>
      <c r="R54">
        <v>99973608041492</v>
      </c>
      <c r="S54">
        <v>9997349</v>
      </c>
      <c r="T54">
        <v>99973608041492</v>
      </c>
      <c r="U54">
        <v>9997349</v>
      </c>
      <c r="V54" t="s">
        <v>74</v>
      </c>
      <c r="W54">
        <v>58</v>
      </c>
      <c r="X54">
        <v>9997350</v>
      </c>
      <c r="Y54">
        <v>9997351</v>
      </c>
      <c r="Z54">
        <v>19994701</v>
      </c>
      <c r="AA54">
        <v>9997349</v>
      </c>
      <c r="AB54">
        <v>2</v>
      </c>
      <c r="AC54">
        <v>1</v>
      </c>
      <c r="AD54">
        <v>32.612900000000003</v>
      </c>
      <c r="AE54">
        <v>799788040</v>
      </c>
      <c r="AI54" t="s">
        <v>224</v>
      </c>
      <c r="AP54">
        <v>607700778</v>
      </c>
      <c r="AQ54">
        <v>0</v>
      </c>
      <c r="AR54">
        <v>405105023</v>
      </c>
      <c r="AS54">
        <v>607700778</v>
      </c>
      <c r="AT54">
        <v>1012805801</v>
      </c>
      <c r="AU54">
        <v>20256692</v>
      </c>
      <c r="AV54">
        <v>0</v>
      </c>
      <c r="AW54">
        <v>13503500</v>
      </c>
      <c r="AX54">
        <v>20256692</v>
      </c>
      <c r="AY54">
        <v>33760193</v>
      </c>
      <c r="AZ54">
        <v>45.355899999999998</v>
      </c>
      <c r="BA54">
        <v>18.079599999999999</v>
      </c>
      <c r="BB54">
        <v>7914.96</v>
      </c>
      <c r="BD54">
        <v>2931</v>
      </c>
      <c r="BE54">
        <v>1255</v>
      </c>
      <c r="BF54" t="str">
        <f t="shared" si="0"/>
        <v>u=40%, k=2x10^7</v>
      </c>
      <c r="BG54">
        <f t="shared" si="1"/>
        <v>0</v>
      </c>
    </row>
    <row r="55" spans="1:59">
      <c r="A55" t="s">
        <v>225</v>
      </c>
      <c r="B55" t="s">
        <v>108</v>
      </c>
      <c r="D55" t="s">
        <v>64</v>
      </c>
      <c r="E55" t="s">
        <v>59</v>
      </c>
      <c r="F55" t="s">
        <v>60</v>
      </c>
      <c r="G55">
        <v>30000</v>
      </c>
      <c r="H55">
        <v>20</v>
      </c>
      <c r="I55">
        <v>20</v>
      </c>
      <c r="J55">
        <v>0</v>
      </c>
      <c r="K55">
        <v>1</v>
      </c>
      <c r="L55">
        <v>20000000</v>
      </c>
      <c r="M55">
        <v>144</v>
      </c>
      <c r="N55">
        <v>144</v>
      </c>
      <c r="O55">
        <v>144</v>
      </c>
      <c r="P55">
        <v>0</v>
      </c>
      <c r="Q55" t="s">
        <v>61</v>
      </c>
      <c r="R55">
        <v>100070626331184</v>
      </c>
      <c r="S55">
        <v>10004705</v>
      </c>
      <c r="T55">
        <v>100070626331184</v>
      </c>
      <c r="U55">
        <v>10004705</v>
      </c>
      <c r="V55" t="s">
        <v>74</v>
      </c>
      <c r="W55">
        <v>66</v>
      </c>
      <c r="X55">
        <v>10004706</v>
      </c>
      <c r="Y55">
        <v>10004707</v>
      </c>
      <c r="Z55">
        <v>20009413</v>
      </c>
      <c r="AA55">
        <v>10004705</v>
      </c>
      <c r="AB55">
        <v>2</v>
      </c>
      <c r="AC55">
        <v>1</v>
      </c>
      <c r="AD55">
        <v>35.026400000000002</v>
      </c>
      <c r="AE55">
        <v>800376520</v>
      </c>
      <c r="AI55" t="s">
        <v>226</v>
      </c>
      <c r="AP55">
        <v>813033241</v>
      </c>
      <c r="AQ55">
        <v>0</v>
      </c>
      <c r="AR55">
        <v>542030477</v>
      </c>
      <c r="AS55">
        <v>813033241</v>
      </c>
      <c r="AT55">
        <v>1355063718</v>
      </c>
      <c r="AU55">
        <v>27101108</v>
      </c>
      <c r="AV55">
        <v>0</v>
      </c>
      <c r="AW55">
        <v>18067682</v>
      </c>
      <c r="AX55">
        <v>27101108</v>
      </c>
      <c r="AY55">
        <v>45168790</v>
      </c>
      <c r="AZ55">
        <v>46.466799999999999</v>
      </c>
      <c r="BA55">
        <v>19.4602</v>
      </c>
      <c r="BB55">
        <v>8866.06</v>
      </c>
      <c r="BD55">
        <v>2976</v>
      </c>
      <c r="BE55">
        <v>890</v>
      </c>
      <c r="BF55" t="str">
        <f t="shared" si="0"/>
        <v>u=40%, k=2x10^7</v>
      </c>
      <c r="BG55">
        <f t="shared" si="1"/>
        <v>0</v>
      </c>
    </row>
    <row r="56" spans="1:59">
      <c r="A56" t="s">
        <v>227</v>
      </c>
      <c r="B56" t="s">
        <v>108</v>
      </c>
      <c r="D56" t="s">
        <v>64</v>
      </c>
      <c r="E56" t="s">
        <v>59</v>
      </c>
      <c r="F56" t="s">
        <v>60</v>
      </c>
      <c r="G56">
        <v>30000</v>
      </c>
      <c r="H56">
        <v>20</v>
      </c>
      <c r="I56">
        <v>20</v>
      </c>
      <c r="J56">
        <v>0</v>
      </c>
      <c r="K56">
        <v>1</v>
      </c>
      <c r="L56">
        <v>20000000</v>
      </c>
      <c r="M56">
        <v>190</v>
      </c>
      <c r="N56">
        <v>190</v>
      </c>
      <c r="O56">
        <v>190</v>
      </c>
      <c r="P56">
        <v>0</v>
      </c>
      <c r="Q56" t="s">
        <v>61</v>
      </c>
      <c r="R56">
        <v>100000856946547</v>
      </c>
      <c r="S56">
        <v>10001224</v>
      </c>
      <c r="T56">
        <v>100000856946547</v>
      </c>
      <c r="U56">
        <v>10001224</v>
      </c>
      <c r="V56" t="s">
        <v>74</v>
      </c>
      <c r="W56">
        <v>57</v>
      </c>
      <c r="X56">
        <v>10001225</v>
      </c>
      <c r="Y56">
        <v>10001226</v>
      </c>
      <c r="Z56">
        <v>20002451</v>
      </c>
      <c r="AA56">
        <v>10001224</v>
      </c>
      <c r="AB56">
        <v>2</v>
      </c>
      <c r="AC56">
        <v>1</v>
      </c>
      <c r="AD56">
        <v>32.235799999999998</v>
      </c>
      <c r="AE56">
        <v>800098040</v>
      </c>
      <c r="AI56" t="s">
        <v>228</v>
      </c>
      <c r="AP56">
        <v>963538236</v>
      </c>
      <c r="AQ56">
        <v>0</v>
      </c>
      <c r="AR56">
        <v>642335867</v>
      </c>
      <c r="AS56">
        <v>963538236</v>
      </c>
      <c r="AT56">
        <v>1605874103</v>
      </c>
      <c r="AU56">
        <v>32117941</v>
      </c>
      <c r="AV56">
        <v>0</v>
      </c>
      <c r="AW56">
        <v>21411195</v>
      </c>
      <c r="AX56">
        <v>32117941</v>
      </c>
      <c r="AY56">
        <v>53529136</v>
      </c>
      <c r="AZ56">
        <v>46.8247</v>
      </c>
      <c r="BA56">
        <v>20.191600000000001</v>
      </c>
      <c r="BB56">
        <v>9775.2199999999993</v>
      </c>
      <c r="BD56">
        <v>2969</v>
      </c>
      <c r="BE56">
        <v>961</v>
      </c>
      <c r="BF56" t="str">
        <f t="shared" si="0"/>
        <v>u=40%, k=2x10^7</v>
      </c>
      <c r="BG56">
        <f t="shared" si="1"/>
        <v>0</v>
      </c>
    </row>
    <row r="57" spans="1:59">
      <c r="A57" t="s">
        <v>229</v>
      </c>
      <c r="B57" t="s">
        <v>119</v>
      </c>
      <c r="D57" t="s">
        <v>64</v>
      </c>
      <c r="E57" t="s">
        <v>59</v>
      </c>
      <c r="F57" t="s">
        <v>60</v>
      </c>
      <c r="G57">
        <v>30000</v>
      </c>
      <c r="H57">
        <v>20</v>
      </c>
      <c r="I57">
        <v>20</v>
      </c>
      <c r="J57">
        <v>0</v>
      </c>
      <c r="K57">
        <v>1</v>
      </c>
      <c r="L57">
        <v>20000000</v>
      </c>
      <c r="M57">
        <v>24</v>
      </c>
      <c r="N57">
        <v>24</v>
      </c>
      <c r="O57">
        <v>24</v>
      </c>
      <c r="P57">
        <v>0</v>
      </c>
      <c r="Q57" t="s">
        <v>61</v>
      </c>
      <c r="R57">
        <v>99954093268189</v>
      </c>
      <c r="S57">
        <v>9998076</v>
      </c>
      <c r="T57">
        <v>99954093268189</v>
      </c>
      <c r="U57">
        <v>9998076</v>
      </c>
      <c r="V57" t="s">
        <v>74</v>
      </c>
      <c r="W57">
        <v>58</v>
      </c>
      <c r="X57">
        <v>9998076</v>
      </c>
      <c r="Y57">
        <v>9998077</v>
      </c>
      <c r="Z57">
        <v>19996153</v>
      </c>
      <c r="AA57">
        <v>9998076</v>
      </c>
      <c r="AB57">
        <v>2</v>
      </c>
      <c r="AC57">
        <v>1</v>
      </c>
      <c r="AD57">
        <v>30.6816</v>
      </c>
      <c r="AE57">
        <v>799846120</v>
      </c>
      <c r="AI57" t="s">
        <v>230</v>
      </c>
      <c r="AP57">
        <v>168019924</v>
      </c>
      <c r="AQ57">
        <v>0</v>
      </c>
      <c r="AR57">
        <v>112033256</v>
      </c>
      <c r="AS57">
        <v>168019924</v>
      </c>
      <c r="AT57">
        <v>280053180</v>
      </c>
      <c r="AU57">
        <v>5600664</v>
      </c>
      <c r="AV57">
        <v>0</v>
      </c>
      <c r="AW57">
        <v>3734441</v>
      </c>
      <c r="AX57">
        <v>5600664</v>
      </c>
      <c r="AY57">
        <v>9335106</v>
      </c>
      <c r="AZ57">
        <v>42.692</v>
      </c>
      <c r="BA57">
        <v>16.086400000000001</v>
      </c>
      <c r="BB57">
        <v>7171.27</v>
      </c>
      <c r="BD57">
        <v>2066</v>
      </c>
      <c r="BE57">
        <v>1754</v>
      </c>
      <c r="BF57" t="str">
        <f t="shared" si="0"/>
        <v>u=40%, k=2x10^7</v>
      </c>
      <c r="BG57">
        <f t="shared" si="1"/>
        <v>0</v>
      </c>
    </row>
    <row r="58" spans="1:59">
      <c r="A58" t="s">
        <v>231</v>
      </c>
      <c r="B58" t="s">
        <v>119</v>
      </c>
      <c r="D58" t="s">
        <v>64</v>
      </c>
      <c r="E58" t="s">
        <v>59</v>
      </c>
      <c r="F58" t="s">
        <v>60</v>
      </c>
      <c r="G58">
        <v>30000</v>
      </c>
      <c r="H58">
        <v>20</v>
      </c>
      <c r="I58">
        <v>20</v>
      </c>
      <c r="J58">
        <v>0</v>
      </c>
      <c r="K58">
        <v>1</v>
      </c>
      <c r="L58">
        <v>20000000</v>
      </c>
      <c r="M58">
        <v>48</v>
      </c>
      <c r="N58">
        <v>48</v>
      </c>
      <c r="O58">
        <v>48</v>
      </c>
      <c r="P58">
        <v>0</v>
      </c>
      <c r="Q58" t="s">
        <v>61</v>
      </c>
      <c r="R58">
        <v>100041798241247</v>
      </c>
      <c r="S58">
        <v>10005023</v>
      </c>
      <c r="T58">
        <v>100041798241247</v>
      </c>
      <c r="U58">
        <v>10005023</v>
      </c>
      <c r="V58" t="s">
        <v>74</v>
      </c>
      <c r="W58">
        <v>63</v>
      </c>
      <c r="X58">
        <v>10005023</v>
      </c>
      <c r="Y58">
        <v>10005024</v>
      </c>
      <c r="Z58">
        <v>20010047</v>
      </c>
      <c r="AA58">
        <v>10005023</v>
      </c>
      <c r="AB58">
        <v>2</v>
      </c>
      <c r="AC58">
        <v>1</v>
      </c>
      <c r="AD58">
        <v>32.959699999999998</v>
      </c>
      <c r="AE58">
        <v>800401880</v>
      </c>
      <c r="AI58" t="s">
        <v>232</v>
      </c>
      <c r="AP58">
        <v>321733380</v>
      </c>
      <c r="AQ58">
        <v>0</v>
      </c>
      <c r="AR58">
        <v>214506260</v>
      </c>
      <c r="AS58">
        <v>321733380</v>
      </c>
      <c r="AT58">
        <v>536239640</v>
      </c>
      <c r="AU58">
        <v>10724446</v>
      </c>
      <c r="AV58">
        <v>0</v>
      </c>
      <c r="AW58">
        <v>7150208</v>
      </c>
      <c r="AX58">
        <v>10724446</v>
      </c>
      <c r="AY58">
        <v>17874654</v>
      </c>
      <c r="AZ58">
        <v>43.385800000000003</v>
      </c>
      <c r="BA58">
        <v>16.0307</v>
      </c>
      <c r="BB58">
        <v>7487.54</v>
      </c>
      <c r="BD58">
        <v>2153</v>
      </c>
      <c r="BE58">
        <v>1230</v>
      </c>
      <c r="BF58" t="str">
        <f t="shared" si="0"/>
        <v>u=40%, k=2x10^7</v>
      </c>
      <c r="BG58">
        <f t="shared" si="1"/>
        <v>0</v>
      </c>
    </row>
    <row r="59" spans="1:59">
      <c r="A59" t="s">
        <v>233</v>
      </c>
      <c r="B59" t="s">
        <v>119</v>
      </c>
      <c r="D59" t="s">
        <v>64</v>
      </c>
      <c r="E59" t="s">
        <v>59</v>
      </c>
      <c r="F59" t="s">
        <v>60</v>
      </c>
      <c r="G59">
        <v>30000</v>
      </c>
      <c r="H59">
        <v>20</v>
      </c>
      <c r="I59">
        <v>20</v>
      </c>
      <c r="J59">
        <v>0</v>
      </c>
      <c r="K59">
        <v>1</v>
      </c>
      <c r="L59">
        <v>20000000</v>
      </c>
      <c r="M59">
        <v>96</v>
      </c>
      <c r="N59">
        <v>96</v>
      </c>
      <c r="O59">
        <v>96</v>
      </c>
      <c r="P59">
        <v>0</v>
      </c>
      <c r="Q59" t="s">
        <v>61</v>
      </c>
      <c r="R59">
        <v>99977766073922</v>
      </c>
      <c r="S59">
        <v>9999662</v>
      </c>
      <c r="T59">
        <v>99977766073922</v>
      </c>
      <c r="U59">
        <v>9999662</v>
      </c>
      <c r="V59" t="s">
        <v>74</v>
      </c>
      <c r="W59">
        <v>56</v>
      </c>
      <c r="X59">
        <v>9999662</v>
      </c>
      <c r="Y59">
        <v>9999663</v>
      </c>
      <c r="Z59">
        <v>19999325</v>
      </c>
      <c r="AA59">
        <v>9999662</v>
      </c>
      <c r="AB59">
        <v>2</v>
      </c>
      <c r="AC59">
        <v>1</v>
      </c>
      <c r="AD59">
        <v>31.064699999999998</v>
      </c>
      <c r="AE59">
        <v>799973000</v>
      </c>
      <c r="AI59" t="s">
        <v>234</v>
      </c>
      <c r="AP59">
        <v>677433998</v>
      </c>
      <c r="AQ59">
        <v>0</v>
      </c>
      <c r="AR59">
        <v>451610074</v>
      </c>
      <c r="AS59">
        <v>677433998</v>
      </c>
      <c r="AT59">
        <v>1129044072</v>
      </c>
      <c r="AU59">
        <v>22581133</v>
      </c>
      <c r="AV59">
        <v>0</v>
      </c>
      <c r="AW59">
        <v>15053669</v>
      </c>
      <c r="AX59">
        <v>22581133</v>
      </c>
      <c r="AY59">
        <v>37634802</v>
      </c>
      <c r="AZ59">
        <v>44.5169</v>
      </c>
      <c r="BA59">
        <v>17.525099999999998</v>
      </c>
      <c r="BB59">
        <v>7100.52</v>
      </c>
      <c r="BD59">
        <v>2812</v>
      </c>
      <c r="BE59">
        <v>864</v>
      </c>
      <c r="BF59" t="str">
        <f t="shared" si="0"/>
        <v>u=40%, k=2x10^7</v>
      </c>
      <c r="BG59">
        <f t="shared" si="1"/>
        <v>0</v>
      </c>
    </row>
    <row r="60" spans="1:59">
      <c r="A60" t="s">
        <v>235</v>
      </c>
      <c r="B60" t="s">
        <v>119</v>
      </c>
      <c r="D60" t="s">
        <v>64</v>
      </c>
      <c r="E60" t="s">
        <v>59</v>
      </c>
      <c r="F60" t="s">
        <v>60</v>
      </c>
      <c r="G60">
        <v>30000</v>
      </c>
      <c r="H60">
        <v>20</v>
      </c>
      <c r="I60">
        <v>20</v>
      </c>
      <c r="J60">
        <v>0</v>
      </c>
      <c r="K60">
        <v>1</v>
      </c>
      <c r="L60">
        <v>20000000</v>
      </c>
      <c r="M60">
        <v>144</v>
      </c>
      <c r="N60">
        <v>144</v>
      </c>
      <c r="O60">
        <v>144</v>
      </c>
      <c r="P60">
        <v>0</v>
      </c>
      <c r="Q60" t="s">
        <v>61</v>
      </c>
      <c r="R60">
        <v>100004623011748</v>
      </c>
      <c r="S60">
        <v>9999368</v>
      </c>
      <c r="T60">
        <v>100004623011748</v>
      </c>
      <c r="U60">
        <v>9999368</v>
      </c>
      <c r="V60" t="s">
        <v>74</v>
      </c>
      <c r="W60">
        <v>55</v>
      </c>
      <c r="X60">
        <v>9999368</v>
      </c>
      <c r="Y60">
        <v>9999369</v>
      </c>
      <c r="Z60">
        <v>19998737</v>
      </c>
      <c r="AA60">
        <v>9999368</v>
      </c>
      <c r="AB60">
        <v>2</v>
      </c>
      <c r="AC60">
        <v>1</v>
      </c>
      <c r="AD60">
        <v>30.056799999999999</v>
      </c>
      <c r="AE60">
        <v>799949480</v>
      </c>
      <c r="AI60" t="s">
        <v>236</v>
      </c>
      <c r="AP60">
        <v>960836124</v>
      </c>
      <c r="AQ60">
        <v>0</v>
      </c>
      <c r="AR60">
        <v>640560229</v>
      </c>
      <c r="AS60">
        <v>960836124</v>
      </c>
      <c r="AT60">
        <v>1601396353</v>
      </c>
      <c r="AU60">
        <v>32027870</v>
      </c>
      <c r="AV60">
        <v>0</v>
      </c>
      <c r="AW60">
        <v>21352007</v>
      </c>
      <c r="AX60">
        <v>32027870</v>
      </c>
      <c r="AY60">
        <v>53379878</v>
      </c>
      <c r="AZ60">
        <v>45.873800000000003</v>
      </c>
      <c r="BA60">
        <v>18.4847</v>
      </c>
      <c r="BB60">
        <v>7505.7</v>
      </c>
      <c r="BD60">
        <v>2935</v>
      </c>
      <c r="BE60">
        <v>517</v>
      </c>
      <c r="BF60" t="str">
        <f t="shared" si="0"/>
        <v>u=40%, k=2x10^7</v>
      </c>
      <c r="BG60">
        <f t="shared" si="1"/>
        <v>0</v>
      </c>
    </row>
    <row r="61" spans="1:59">
      <c r="A61" t="s">
        <v>237</v>
      </c>
      <c r="B61" t="s">
        <v>119</v>
      </c>
      <c r="D61" t="s">
        <v>64</v>
      </c>
      <c r="E61" t="s">
        <v>59</v>
      </c>
      <c r="F61" t="s">
        <v>60</v>
      </c>
      <c r="G61">
        <v>30000</v>
      </c>
      <c r="H61">
        <v>20</v>
      </c>
      <c r="I61">
        <v>20</v>
      </c>
      <c r="J61">
        <v>0</v>
      </c>
      <c r="K61">
        <v>1</v>
      </c>
      <c r="L61">
        <v>20000000</v>
      </c>
      <c r="M61">
        <v>190</v>
      </c>
      <c r="N61">
        <v>190</v>
      </c>
      <c r="O61">
        <v>190</v>
      </c>
      <c r="P61">
        <v>0</v>
      </c>
      <c r="Q61" t="s">
        <v>61</v>
      </c>
      <c r="R61">
        <v>100001089503323</v>
      </c>
      <c r="S61">
        <v>9999898</v>
      </c>
      <c r="T61">
        <v>100001089503323</v>
      </c>
      <c r="U61">
        <v>9999898</v>
      </c>
      <c r="V61" t="s">
        <v>74</v>
      </c>
      <c r="W61">
        <v>55</v>
      </c>
      <c r="X61">
        <v>9999898</v>
      </c>
      <c r="Y61">
        <v>9999899</v>
      </c>
      <c r="Z61">
        <v>19999797</v>
      </c>
      <c r="AA61">
        <v>9999898</v>
      </c>
      <c r="AB61">
        <v>2</v>
      </c>
      <c r="AC61">
        <v>1</v>
      </c>
      <c r="AD61">
        <v>29.7227</v>
      </c>
      <c r="AE61">
        <v>799991880</v>
      </c>
      <c r="AI61" t="s">
        <v>238</v>
      </c>
      <c r="AP61">
        <v>1180444204</v>
      </c>
      <c r="AQ61">
        <v>0</v>
      </c>
      <c r="AR61">
        <v>787040880</v>
      </c>
      <c r="AS61">
        <v>1180444204</v>
      </c>
      <c r="AT61">
        <v>1967485084</v>
      </c>
      <c r="AU61">
        <v>39348140</v>
      </c>
      <c r="AV61">
        <v>0</v>
      </c>
      <c r="AW61">
        <v>26234696</v>
      </c>
      <c r="AX61">
        <v>39348140</v>
      </c>
      <c r="AY61">
        <v>65582836</v>
      </c>
      <c r="AZ61">
        <v>46.447800000000001</v>
      </c>
      <c r="BA61">
        <v>18.913399999999999</v>
      </c>
      <c r="BB61">
        <v>8052.91</v>
      </c>
      <c r="BD61">
        <v>2926</v>
      </c>
      <c r="BE61">
        <v>536</v>
      </c>
      <c r="BF61" t="str">
        <f t="shared" si="0"/>
        <v>u=40%, k=2x10^7</v>
      </c>
      <c r="BG61">
        <f t="shared" si="1"/>
        <v>0</v>
      </c>
    </row>
    <row r="62" spans="1:59">
      <c r="A62" t="s">
        <v>239</v>
      </c>
      <c r="B62" t="s">
        <v>130</v>
      </c>
      <c r="D62" t="s">
        <v>64</v>
      </c>
      <c r="E62" t="s">
        <v>59</v>
      </c>
      <c r="F62" t="s">
        <v>60</v>
      </c>
      <c r="G62">
        <v>30000</v>
      </c>
      <c r="H62">
        <v>20</v>
      </c>
      <c r="I62">
        <v>20</v>
      </c>
      <c r="J62">
        <v>0</v>
      </c>
      <c r="K62">
        <v>1</v>
      </c>
      <c r="L62">
        <v>20000000</v>
      </c>
      <c r="M62">
        <v>24</v>
      </c>
      <c r="N62">
        <v>24</v>
      </c>
      <c r="O62">
        <v>24</v>
      </c>
      <c r="P62">
        <v>0</v>
      </c>
      <c r="Q62" t="s">
        <v>61</v>
      </c>
      <c r="R62">
        <v>100014232274492</v>
      </c>
      <c r="S62">
        <v>10002344</v>
      </c>
      <c r="T62">
        <v>100014313964821</v>
      </c>
      <c r="U62">
        <v>10002357</v>
      </c>
      <c r="V62" t="s">
        <v>142</v>
      </c>
      <c r="W62">
        <v>57</v>
      </c>
      <c r="X62">
        <v>6543509</v>
      </c>
      <c r="Y62">
        <v>3458849</v>
      </c>
      <c r="Z62">
        <v>10002358</v>
      </c>
      <c r="AA62">
        <v>10002357</v>
      </c>
      <c r="AB62">
        <v>1.5285899999999999</v>
      </c>
      <c r="AC62">
        <v>2.8918200000000001</v>
      </c>
      <c r="AD62">
        <v>29.770399999999999</v>
      </c>
      <c r="AE62">
        <v>640150912</v>
      </c>
      <c r="AI62" t="s">
        <v>240</v>
      </c>
      <c r="BD62">
        <v>3713</v>
      </c>
      <c r="BE62">
        <v>1534</v>
      </c>
      <c r="BF62" t="str">
        <f t="shared" si="0"/>
        <v>u=40%, k=2x10^7</v>
      </c>
      <c r="BG62">
        <f t="shared" si="1"/>
        <v>0</v>
      </c>
    </row>
    <row r="63" spans="1:59">
      <c r="A63" t="s">
        <v>241</v>
      </c>
      <c r="B63" t="s">
        <v>130</v>
      </c>
      <c r="D63" t="s">
        <v>64</v>
      </c>
      <c r="E63" t="s">
        <v>59</v>
      </c>
      <c r="F63" t="s">
        <v>60</v>
      </c>
      <c r="G63">
        <v>30000</v>
      </c>
      <c r="H63">
        <v>20</v>
      </c>
      <c r="I63">
        <v>20</v>
      </c>
      <c r="J63">
        <v>0</v>
      </c>
      <c r="K63">
        <v>1</v>
      </c>
      <c r="L63">
        <v>20000000</v>
      </c>
      <c r="M63">
        <v>48</v>
      </c>
      <c r="N63">
        <v>48</v>
      </c>
      <c r="O63">
        <v>48</v>
      </c>
      <c r="P63">
        <v>0</v>
      </c>
      <c r="Q63" t="s">
        <v>61</v>
      </c>
      <c r="R63">
        <v>99996519123021</v>
      </c>
      <c r="S63">
        <v>9999148</v>
      </c>
      <c r="T63">
        <v>99998705669846</v>
      </c>
      <c r="U63">
        <v>9999523</v>
      </c>
      <c r="V63" t="s">
        <v>142</v>
      </c>
      <c r="W63">
        <v>57</v>
      </c>
      <c r="X63">
        <v>6540392</v>
      </c>
      <c r="Y63">
        <v>3459132</v>
      </c>
      <c r="Z63">
        <v>9999524</v>
      </c>
      <c r="AA63">
        <v>9999523</v>
      </c>
      <c r="AB63">
        <v>1.5288900000000001</v>
      </c>
      <c r="AC63">
        <v>2.8907600000000002</v>
      </c>
      <c r="AD63">
        <v>29.088200000000001</v>
      </c>
      <c r="AE63">
        <v>639969536</v>
      </c>
      <c r="AI63" t="s">
        <v>242</v>
      </c>
      <c r="BD63">
        <v>5447</v>
      </c>
      <c r="BE63">
        <v>1090</v>
      </c>
      <c r="BF63" t="str">
        <f t="shared" si="0"/>
        <v>u=40%, k=2x10^7</v>
      </c>
      <c r="BG63">
        <f t="shared" si="1"/>
        <v>0</v>
      </c>
    </row>
    <row r="64" spans="1:59">
      <c r="A64" t="s">
        <v>243</v>
      </c>
      <c r="B64" t="s">
        <v>130</v>
      </c>
      <c r="D64" t="s">
        <v>64</v>
      </c>
      <c r="E64" t="s">
        <v>59</v>
      </c>
      <c r="F64" t="s">
        <v>60</v>
      </c>
      <c r="G64">
        <v>30000</v>
      </c>
      <c r="H64">
        <v>20</v>
      </c>
      <c r="I64">
        <v>20</v>
      </c>
      <c r="J64">
        <v>0</v>
      </c>
      <c r="K64">
        <v>1</v>
      </c>
      <c r="L64">
        <v>20000000</v>
      </c>
      <c r="M64">
        <v>96</v>
      </c>
      <c r="N64">
        <v>96</v>
      </c>
      <c r="O64">
        <v>96</v>
      </c>
      <c r="P64">
        <v>0</v>
      </c>
      <c r="Q64" t="s">
        <v>61</v>
      </c>
      <c r="R64">
        <v>102463824587304</v>
      </c>
      <c r="S64">
        <v>10182100</v>
      </c>
      <c r="T64">
        <v>104939108386232</v>
      </c>
      <c r="U64">
        <v>10363525</v>
      </c>
      <c r="V64" t="s">
        <v>142</v>
      </c>
      <c r="W64">
        <v>86</v>
      </c>
      <c r="X64">
        <v>6785417</v>
      </c>
      <c r="Y64">
        <v>3578109</v>
      </c>
      <c r="Z64">
        <v>10363526</v>
      </c>
      <c r="AA64">
        <v>10363525</v>
      </c>
      <c r="AB64">
        <v>1.52732</v>
      </c>
      <c r="AC64">
        <v>2.8963700000000001</v>
      </c>
      <c r="AD64">
        <v>30.649899999999999</v>
      </c>
      <c r="AE64">
        <v>663265664</v>
      </c>
      <c r="AI64" t="s">
        <v>244</v>
      </c>
      <c r="BD64">
        <v>9886</v>
      </c>
      <c r="BE64">
        <v>777</v>
      </c>
      <c r="BF64" t="str">
        <f t="shared" si="0"/>
        <v>u=40%, k=2x10^7</v>
      </c>
      <c r="BG64">
        <f t="shared" si="1"/>
        <v>0</v>
      </c>
    </row>
    <row r="65" spans="1:59">
      <c r="A65" t="s">
        <v>245</v>
      </c>
      <c r="B65" t="s">
        <v>130</v>
      </c>
      <c r="D65" t="s">
        <v>64</v>
      </c>
      <c r="E65" t="s">
        <v>59</v>
      </c>
      <c r="F65" t="s">
        <v>60</v>
      </c>
      <c r="G65">
        <v>30000</v>
      </c>
      <c r="H65">
        <v>20</v>
      </c>
      <c r="I65">
        <v>20</v>
      </c>
      <c r="J65">
        <v>0</v>
      </c>
      <c r="K65">
        <v>1</v>
      </c>
      <c r="L65">
        <v>20000000</v>
      </c>
      <c r="M65">
        <v>144</v>
      </c>
      <c r="N65">
        <v>144</v>
      </c>
      <c r="O65">
        <v>144</v>
      </c>
      <c r="P65">
        <v>0</v>
      </c>
      <c r="Q65" t="s">
        <v>61</v>
      </c>
      <c r="R65">
        <v>156749947387302</v>
      </c>
      <c r="S65">
        <v>13413029</v>
      </c>
      <c r="T65">
        <v>152119012197660</v>
      </c>
      <c r="U65">
        <v>13408113</v>
      </c>
      <c r="V65" t="s">
        <v>142</v>
      </c>
      <c r="W65">
        <v>115</v>
      </c>
      <c r="X65">
        <v>8782853</v>
      </c>
      <c r="Y65">
        <v>4625261</v>
      </c>
      <c r="Z65">
        <v>13408114</v>
      </c>
      <c r="AA65">
        <v>13408113</v>
      </c>
      <c r="AB65">
        <v>1.5266200000000001</v>
      </c>
      <c r="AC65">
        <v>2.8988900000000002</v>
      </c>
      <c r="AD65">
        <v>40.621600000000001</v>
      </c>
      <c r="AE65">
        <v>858119296</v>
      </c>
      <c r="AI65" t="s">
        <v>246</v>
      </c>
      <c r="BD65">
        <v>13690</v>
      </c>
      <c r="BE65">
        <v>483</v>
      </c>
      <c r="BF65" t="str">
        <f t="shared" si="0"/>
        <v>u=40%, k=2x10^7</v>
      </c>
      <c r="BG65">
        <f t="shared" si="1"/>
        <v>0</v>
      </c>
    </row>
    <row r="66" spans="1:59">
      <c r="A66" t="s">
        <v>247</v>
      </c>
      <c r="B66" t="s">
        <v>130</v>
      </c>
      <c r="D66" t="s">
        <v>64</v>
      </c>
      <c r="E66" t="s">
        <v>59</v>
      </c>
      <c r="F66" t="s">
        <v>60</v>
      </c>
      <c r="G66">
        <v>30000</v>
      </c>
      <c r="H66">
        <v>20</v>
      </c>
      <c r="I66">
        <v>20</v>
      </c>
      <c r="J66">
        <v>0</v>
      </c>
      <c r="K66">
        <v>1</v>
      </c>
      <c r="L66">
        <v>20000000</v>
      </c>
      <c r="M66">
        <v>190</v>
      </c>
      <c r="N66">
        <v>190</v>
      </c>
      <c r="O66">
        <v>190</v>
      </c>
      <c r="P66">
        <v>0</v>
      </c>
      <c r="Q66" t="s">
        <v>61</v>
      </c>
      <c r="R66">
        <v>178240709685488</v>
      </c>
      <c r="S66">
        <v>18873305</v>
      </c>
      <c r="T66">
        <v>256153234129278</v>
      </c>
      <c r="U66">
        <v>27723066</v>
      </c>
      <c r="V66" t="s">
        <v>142</v>
      </c>
      <c r="W66">
        <v>138</v>
      </c>
      <c r="X66">
        <v>18148463</v>
      </c>
      <c r="Y66">
        <v>9574604</v>
      </c>
      <c r="Z66">
        <v>27723067</v>
      </c>
      <c r="AA66">
        <v>27723066</v>
      </c>
      <c r="AB66">
        <v>1.5275700000000001</v>
      </c>
      <c r="AC66">
        <v>2.8954800000000001</v>
      </c>
      <c r="AD66">
        <v>74.173100000000005</v>
      </c>
      <c r="AE66">
        <v>1774276288</v>
      </c>
      <c r="AI66" t="s">
        <v>248</v>
      </c>
      <c r="BD66">
        <v>16667</v>
      </c>
      <c r="BE66">
        <v>481</v>
      </c>
      <c r="BF66" t="str">
        <f t="shared" si="0"/>
        <v>u=40%, k=2x10^7</v>
      </c>
      <c r="BG66">
        <f t="shared" si="1"/>
        <v>0</v>
      </c>
    </row>
    <row r="67" spans="1:59">
      <c r="A67" t="s">
        <v>249</v>
      </c>
      <c r="B67" t="s">
        <v>141</v>
      </c>
      <c r="D67" t="s">
        <v>64</v>
      </c>
      <c r="E67" t="s">
        <v>59</v>
      </c>
      <c r="F67" t="s">
        <v>60</v>
      </c>
      <c r="G67">
        <v>30000</v>
      </c>
      <c r="H67">
        <v>20</v>
      </c>
      <c r="I67">
        <v>20</v>
      </c>
      <c r="J67">
        <v>0</v>
      </c>
      <c r="K67">
        <v>1</v>
      </c>
      <c r="L67">
        <v>20000000</v>
      </c>
      <c r="M67">
        <v>24</v>
      </c>
      <c r="N67">
        <v>24</v>
      </c>
      <c r="O67">
        <v>24</v>
      </c>
      <c r="P67">
        <v>0</v>
      </c>
      <c r="Q67" t="s">
        <v>61</v>
      </c>
      <c r="R67">
        <v>166784034622117</v>
      </c>
      <c r="S67">
        <v>16680833</v>
      </c>
      <c r="T67">
        <v>100018004462261</v>
      </c>
      <c r="U67">
        <v>10002022</v>
      </c>
      <c r="V67" t="s">
        <v>142</v>
      </c>
      <c r="W67">
        <v>60</v>
      </c>
      <c r="X67">
        <v>6548256</v>
      </c>
      <c r="Y67">
        <v>3453769</v>
      </c>
      <c r="Z67">
        <v>10002025</v>
      </c>
      <c r="AA67">
        <v>10002022</v>
      </c>
      <c r="AB67">
        <v>1.5274300000000001</v>
      </c>
      <c r="AC67">
        <v>2.8959700000000002</v>
      </c>
      <c r="AD67">
        <v>32.168599999999998</v>
      </c>
      <c r="AE67">
        <v>400081000</v>
      </c>
      <c r="AI67" t="s">
        <v>250</v>
      </c>
      <c r="BD67">
        <v>3432</v>
      </c>
      <c r="BE67">
        <v>1412</v>
      </c>
      <c r="BF67" t="str">
        <f t="shared" ref="BF67:BF101" si="2">"u="&amp;(H67+I67)&amp;"%, k=2x10^"&amp;LOG10(L67/2)</f>
        <v>u=40%, k=2x10^7</v>
      </c>
      <c r="BG67">
        <f t="shared" ref="BG67:BG101" si="3">IF(AH67="",0,LEFT(AH67,IF(ISNUMBER(FIND(" ",AH67)),FIND(" ",AH67)-1,LEN(AH67))))</f>
        <v>0</v>
      </c>
    </row>
    <row r="68" spans="1:59">
      <c r="A68" t="s">
        <v>251</v>
      </c>
      <c r="B68" t="s">
        <v>141</v>
      </c>
      <c r="D68" t="s">
        <v>64</v>
      </c>
      <c r="E68" t="s">
        <v>59</v>
      </c>
      <c r="F68" t="s">
        <v>60</v>
      </c>
      <c r="G68">
        <v>30000</v>
      </c>
      <c r="H68">
        <v>20</v>
      </c>
      <c r="I68">
        <v>20</v>
      </c>
      <c r="J68">
        <v>0</v>
      </c>
      <c r="K68">
        <v>1</v>
      </c>
      <c r="L68">
        <v>20000000</v>
      </c>
      <c r="M68">
        <v>48</v>
      </c>
      <c r="N68">
        <v>48</v>
      </c>
      <c r="O68">
        <v>48</v>
      </c>
      <c r="P68">
        <v>0</v>
      </c>
      <c r="Q68" t="s">
        <v>61</v>
      </c>
      <c r="R68">
        <v>248966434465626</v>
      </c>
      <c r="S68">
        <v>24895086</v>
      </c>
      <c r="T68">
        <v>99995889639204</v>
      </c>
      <c r="U68">
        <v>9998632</v>
      </c>
      <c r="V68" t="s">
        <v>142</v>
      </c>
      <c r="W68">
        <v>62</v>
      </c>
      <c r="X68">
        <v>6545189</v>
      </c>
      <c r="Y68">
        <v>3453446</v>
      </c>
      <c r="Z68">
        <v>9998635</v>
      </c>
      <c r="AA68">
        <v>9998632</v>
      </c>
      <c r="AB68">
        <v>1.52763</v>
      </c>
      <c r="AC68">
        <v>2.8952599999999999</v>
      </c>
      <c r="AD68">
        <v>31.935600000000001</v>
      </c>
      <c r="AE68">
        <v>399945400</v>
      </c>
      <c r="AI68" t="s">
        <v>252</v>
      </c>
      <c r="BD68">
        <v>5077</v>
      </c>
      <c r="BE68">
        <v>998</v>
      </c>
      <c r="BF68" t="str">
        <f t="shared" si="2"/>
        <v>u=40%, k=2x10^7</v>
      </c>
      <c r="BG68">
        <f t="shared" si="3"/>
        <v>0</v>
      </c>
    </row>
    <row r="69" spans="1:59">
      <c r="A69" t="s">
        <v>253</v>
      </c>
      <c r="B69" t="s">
        <v>141</v>
      </c>
      <c r="D69" t="s">
        <v>64</v>
      </c>
      <c r="E69" t="s">
        <v>59</v>
      </c>
      <c r="F69" t="s">
        <v>60</v>
      </c>
      <c r="G69">
        <v>30000</v>
      </c>
      <c r="H69">
        <v>20</v>
      </c>
      <c r="I69">
        <v>20</v>
      </c>
      <c r="J69">
        <v>0</v>
      </c>
      <c r="K69">
        <v>1</v>
      </c>
      <c r="L69">
        <v>20000000</v>
      </c>
      <c r="M69">
        <v>96</v>
      </c>
      <c r="N69">
        <v>96</v>
      </c>
      <c r="O69">
        <v>96</v>
      </c>
      <c r="P69">
        <v>0</v>
      </c>
      <c r="Q69" t="s">
        <v>61</v>
      </c>
      <c r="R69">
        <v>455760379647396</v>
      </c>
      <c r="S69">
        <v>45575134</v>
      </c>
      <c r="T69">
        <v>100035476555817</v>
      </c>
      <c r="U69">
        <v>10003428</v>
      </c>
      <c r="V69" t="s">
        <v>142</v>
      </c>
      <c r="W69">
        <v>60</v>
      </c>
      <c r="X69">
        <v>6546624</v>
      </c>
      <c r="Y69">
        <v>3456807</v>
      </c>
      <c r="Z69">
        <v>10003431</v>
      </c>
      <c r="AA69">
        <v>10003428</v>
      </c>
      <c r="AB69">
        <v>1.52803</v>
      </c>
      <c r="AC69">
        <v>2.8938299999999999</v>
      </c>
      <c r="AD69">
        <v>31.689800000000002</v>
      </c>
      <c r="AE69">
        <v>400137240</v>
      </c>
      <c r="AI69" t="s">
        <v>254</v>
      </c>
      <c r="BD69">
        <v>9199</v>
      </c>
      <c r="BE69">
        <v>686</v>
      </c>
      <c r="BF69" t="str">
        <f t="shared" si="2"/>
        <v>u=40%, k=2x10^7</v>
      </c>
      <c r="BG69">
        <f t="shared" si="3"/>
        <v>0</v>
      </c>
    </row>
    <row r="70" spans="1:59">
      <c r="A70" t="s">
        <v>255</v>
      </c>
      <c r="B70" t="s">
        <v>141</v>
      </c>
      <c r="D70" t="s">
        <v>64</v>
      </c>
      <c r="E70" t="s">
        <v>59</v>
      </c>
      <c r="F70" t="s">
        <v>60</v>
      </c>
      <c r="G70">
        <v>30000</v>
      </c>
      <c r="H70">
        <v>20</v>
      </c>
      <c r="I70">
        <v>20</v>
      </c>
      <c r="J70">
        <v>0</v>
      </c>
      <c r="K70">
        <v>1</v>
      </c>
      <c r="L70">
        <v>20000000</v>
      </c>
      <c r="M70">
        <v>144</v>
      </c>
      <c r="N70">
        <v>144</v>
      </c>
      <c r="O70">
        <v>144</v>
      </c>
      <c r="P70">
        <v>0</v>
      </c>
      <c r="Q70" t="s">
        <v>61</v>
      </c>
      <c r="R70">
        <v>659311557780292</v>
      </c>
      <c r="S70">
        <v>65933226</v>
      </c>
      <c r="T70">
        <v>100028269270573</v>
      </c>
      <c r="U70">
        <v>10003655</v>
      </c>
      <c r="V70" t="s">
        <v>142</v>
      </c>
      <c r="W70">
        <v>60</v>
      </c>
      <c r="X70">
        <v>6547921</v>
      </c>
      <c r="Y70">
        <v>3455737</v>
      </c>
      <c r="Z70">
        <v>10003658</v>
      </c>
      <c r="AA70">
        <v>10003655</v>
      </c>
      <c r="AB70">
        <v>1.52776</v>
      </c>
      <c r="AC70">
        <v>2.8948</v>
      </c>
      <c r="AD70">
        <v>31.276800000000001</v>
      </c>
      <c r="AE70">
        <v>400146320</v>
      </c>
      <c r="AI70" t="s">
        <v>256</v>
      </c>
      <c r="BD70">
        <v>13230</v>
      </c>
      <c r="BE70">
        <v>428</v>
      </c>
      <c r="BF70" t="str">
        <f t="shared" si="2"/>
        <v>u=40%, k=2x10^7</v>
      </c>
      <c r="BG70">
        <f t="shared" si="3"/>
        <v>0</v>
      </c>
    </row>
    <row r="71" spans="1:59">
      <c r="A71" t="s">
        <v>257</v>
      </c>
      <c r="B71" t="s">
        <v>141</v>
      </c>
      <c r="D71" t="s">
        <v>64</v>
      </c>
      <c r="E71" t="s">
        <v>59</v>
      </c>
      <c r="F71" t="s">
        <v>60</v>
      </c>
      <c r="G71">
        <v>30000</v>
      </c>
      <c r="H71">
        <v>20</v>
      </c>
      <c r="I71">
        <v>20</v>
      </c>
      <c r="J71">
        <v>0</v>
      </c>
      <c r="K71">
        <v>1</v>
      </c>
      <c r="L71">
        <v>20000000</v>
      </c>
      <c r="M71">
        <v>190</v>
      </c>
      <c r="N71">
        <v>190</v>
      </c>
      <c r="O71">
        <v>190</v>
      </c>
      <c r="P71">
        <v>0</v>
      </c>
      <c r="Q71" t="s">
        <v>61</v>
      </c>
      <c r="R71">
        <v>854554935823577</v>
      </c>
      <c r="S71">
        <v>85455940</v>
      </c>
      <c r="T71">
        <v>100031423056572</v>
      </c>
      <c r="U71">
        <v>10003425</v>
      </c>
      <c r="V71" t="s">
        <v>142</v>
      </c>
      <c r="W71">
        <v>62</v>
      </c>
      <c r="X71">
        <v>6548776</v>
      </c>
      <c r="Y71">
        <v>3454652</v>
      </c>
      <c r="Z71">
        <v>10003428</v>
      </c>
      <c r="AA71">
        <v>10003425</v>
      </c>
      <c r="AB71">
        <v>1.5275300000000001</v>
      </c>
      <c r="AC71">
        <v>2.8956400000000002</v>
      </c>
      <c r="AD71">
        <v>31.610900000000001</v>
      </c>
      <c r="AE71">
        <v>400137120</v>
      </c>
      <c r="AI71" t="s">
        <v>258</v>
      </c>
      <c r="BD71">
        <v>17083</v>
      </c>
      <c r="BE71">
        <v>437</v>
      </c>
      <c r="BF71" t="str">
        <f t="shared" si="2"/>
        <v>u=40%, k=2x10^7</v>
      </c>
      <c r="BG71">
        <f t="shared" si="3"/>
        <v>0</v>
      </c>
    </row>
    <row r="72" spans="1:59">
      <c r="A72" t="s">
        <v>259</v>
      </c>
      <c r="B72" t="s">
        <v>153</v>
      </c>
      <c r="D72" t="s">
        <v>64</v>
      </c>
      <c r="E72" t="s">
        <v>59</v>
      </c>
      <c r="F72" t="s">
        <v>60</v>
      </c>
      <c r="G72">
        <v>30000</v>
      </c>
      <c r="H72">
        <v>20</v>
      </c>
      <c r="I72">
        <v>20</v>
      </c>
      <c r="J72">
        <v>0</v>
      </c>
      <c r="K72">
        <v>1</v>
      </c>
      <c r="L72">
        <v>20000000</v>
      </c>
      <c r="M72">
        <v>24</v>
      </c>
      <c r="N72">
        <v>24</v>
      </c>
      <c r="O72">
        <v>24</v>
      </c>
      <c r="P72">
        <v>0</v>
      </c>
      <c r="Q72" t="s">
        <v>61</v>
      </c>
      <c r="R72">
        <v>99980532536224</v>
      </c>
      <c r="S72">
        <v>9997581</v>
      </c>
      <c r="T72">
        <v>99980532536224</v>
      </c>
      <c r="U72">
        <v>9997581</v>
      </c>
      <c r="V72" t="s">
        <v>74</v>
      </c>
      <c r="W72">
        <v>61</v>
      </c>
      <c r="X72">
        <v>9997580</v>
      </c>
      <c r="Y72">
        <v>9997581</v>
      </c>
      <c r="Z72">
        <v>19995161</v>
      </c>
      <c r="AA72">
        <v>9997581</v>
      </c>
      <c r="AB72">
        <v>2</v>
      </c>
      <c r="AC72">
        <v>1</v>
      </c>
      <c r="AD72">
        <v>31.6373</v>
      </c>
      <c r="AE72">
        <v>959767728</v>
      </c>
      <c r="AI72" t="s">
        <v>260</v>
      </c>
      <c r="AP72">
        <v>162149001</v>
      </c>
      <c r="AQ72">
        <v>0</v>
      </c>
      <c r="AR72">
        <v>108087886</v>
      </c>
      <c r="AS72">
        <v>162149001</v>
      </c>
      <c r="AT72">
        <v>270236887</v>
      </c>
      <c r="AU72">
        <v>5404966</v>
      </c>
      <c r="AV72">
        <v>0</v>
      </c>
      <c r="AW72">
        <v>3602929</v>
      </c>
      <c r="AX72">
        <v>5404966</v>
      </c>
      <c r="AY72">
        <v>9007896</v>
      </c>
      <c r="AZ72">
        <v>40.289700000000003</v>
      </c>
      <c r="BA72">
        <v>15.313499999999999</v>
      </c>
      <c r="BB72">
        <v>7432.15</v>
      </c>
      <c r="BD72">
        <v>2085</v>
      </c>
      <c r="BE72">
        <v>1761</v>
      </c>
      <c r="BF72" t="str">
        <f t="shared" si="2"/>
        <v>u=40%, k=2x10^7</v>
      </c>
      <c r="BG72">
        <f t="shared" si="3"/>
        <v>0</v>
      </c>
    </row>
    <row r="73" spans="1:59">
      <c r="A73" t="s">
        <v>261</v>
      </c>
      <c r="B73" t="s">
        <v>153</v>
      </c>
      <c r="D73" t="s">
        <v>64</v>
      </c>
      <c r="E73" t="s">
        <v>59</v>
      </c>
      <c r="F73" t="s">
        <v>60</v>
      </c>
      <c r="G73">
        <v>30000</v>
      </c>
      <c r="H73">
        <v>20</v>
      </c>
      <c r="I73">
        <v>20</v>
      </c>
      <c r="J73">
        <v>0</v>
      </c>
      <c r="K73">
        <v>1</v>
      </c>
      <c r="L73">
        <v>20000000</v>
      </c>
      <c r="M73">
        <v>48</v>
      </c>
      <c r="N73">
        <v>48</v>
      </c>
      <c r="O73">
        <v>48</v>
      </c>
      <c r="P73">
        <v>0</v>
      </c>
      <c r="Q73" t="s">
        <v>61</v>
      </c>
      <c r="R73">
        <v>99998648252084</v>
      </c>
      <c r="S73">
        <v>10001331</v>
      </c>
      <c r="T73">
        <v>99998648252084</v>
      </c>
      <c r="U73">
        <v>10001331</v>
      </c>
      <c r="V73" t="s">
        <v>74</v>
      </c>
      <c r="W73">
        <v>58</v>
      </c>
      <c r="X73">
        <v>10001330</v>
      </c>
      <c r="Y73">
        <v>10001331</v>
      </c>
      <c r="Z73">
        <v>20002661</v>
      </c>
      <c r="AA73">
        <v>10001331</v>
      </c>
      <c r="AB73">
        <v>2</v>
      </c>
      <c r="AC73">
        <v>1</v>
      </c>
      <c r="AD73">
        <v>30.366099999999999</v>
      </c>
      <c r="AE73">
        <v>960127728</v>
      </c>
      <c r="AI73" t="s">
        <v>262</v>
      </c>
      <c r="AP73">
        <v>309385852</v>
      </c>
      <c r="AQ73">
        <v>0</v>
      </c>
      <c r="AR73">
        <v>206267626</v>
      </c>
      <c r="AS73">
        <v>309385852</v>
      </c>
      <c r="AT73">
        <v>515653478</v>
      </c>
      <c r="AU73">
        <v>10312861</v>
      </c>
      <c r="AV73">
        <v>0</v>
      </c>
      <c r="AW73">
        <v>6875587</v>
      </c>
      <c r="AX73">
        <v>10312861</v>
      </c>
      <c r="AY73">
        <v>17188449</v>
      </c>
      <c r="AZ73">
        <v>41.362299999999998</v>
      </c>
      <c r="BA73">
        <v>15.4618</v>
      </c>
      <c r="BB73">
        <v>7784.76</v>
      </c>
      <c r="BD73">
        <v>2439</v>
      </c>
      <c r="BE73">
        <v>1235</v>
      </c>
      <c r="BF73" t="str">
        <f t="shared" si="2"/>
        <v>u=40%, k=2x10^7</v>
      </c>
      <c r="BG73">
        <f t="shared" si="3"/>
        <v>0</v>
      </c>
    </row>
    <row r="74" spans="1:59">
      <c r="A74" t="s">
        <v>263</v>
      </c>
      <c r="B74" t="s">
        <v>153</v>
      </c>
      <c r="D74" t="s">
        <v>64</v>
      </c>
      <c r="E74" t="s">
        <v>59</v>
      </c>
      <c r="F74" t="s">
        <v>60</v>
      </c>
      <c r="G74">
        <v>30000</v>
      </c>
      <c r="H74">
        <v>20</v>
      </c>
      <c r="I74">
        <v>20</v>
      </c>
      <c r="J74">
        <v>0</v>
      </c>
      <c r="K74">
        <v>1</v>
      </c>
      <c r="L74">
        <v>20000000</v>
      </c>
      <c r="M74">
        <v>96</v>
      </c>
      <c r="N74">
        <v>96</v>
      </c>
      <c r="O74">
        <v>96</v>
      </c>
      <c r="P74">
        <v>0</v>
      </c>
      <c r="Q74" t="s">
        <v>61</v>
      </c>
      <c r="R74">
        <v>99985454437190</v>
      </c>
      <c r="S74">
        <v>9998132</v>
      </c>
      <c r="T74">
        <v>99985454437190</v>
      </c>
      <c r="U74">
        <v>9998132</v>
      </c>
      <c r="V74" t="s">
        <v>74</v>
      </c>
      <c r="W74">
        <v>57</v>
      </c>
      <c r="X74">
        <v>9998131</v>
      </c>
      <c r="Y74">
        <v>9998132</v>
      </c>
      <c r="Z74">
        <v>19996263</v>
      </c>
      <c r="AA74">
        <v>9998132</v>
      </c>
      <c r="AB74">
        <v>2</v>
      </c>
      <c r="AC74">
        <v>1</v>
      </c>
      <c r="AD74">
        <v>30.3599</v>
      </c>
      <c r="AE74">
        <v>959820624</v>
      </c>
      <c r="AI74" t="s">
        <v>264</v>
      </c>
      <c r="AP74">
        <v>606821778</v>
      </c>
      <c r="AQ74">
        <v>0</v>
      </c>
      <c r="AR74">
        <v>404551892</v>
      </c>
      <c r="AS74">
        <v>606821778</v>
      </c>
      <c r="AT74">
        <v>1011373670</v>
      </c>
      <c r="AU74">
        <v>20227392</v>
      </c>
      <c r="AV74">
        <v>0</v>
      </c>
      <c r="AW74">
        <v>13485063</v>
      </c>
      <c r="AX74">
        <v>20227392</v>
      </c>
      <c r="AY74">
        <v>33712455</v>
      </c>
      <c r="AZ74">
        <v>44.3688</v>
      </c>
      <c r="BA74">
        <v>18.075600000000001</v>
      </c>
      <c r="BB74">
        <v>7928</v>
      </c>
      <c r="BD74">
        <v>2917</v>
      </c>
      <c r="BE74">
        <v>860</v>
      </c>
      <c r="BF74" t="str">
        <f t="shared" si="2"/>
        <v>u=40%, k=2x10^7</v>
      </c>
      <c r="BG74">
        <f t="shared" si="3"/>
        <v>0</v>
      </c>
    </row>
    <row r="75" spans="1:59">
      <c r="A75" t="s">
        <v>265</v>
      </c>
      <c r="B75" t="s">
        <v>153</v>
      </c>
      <c r="D75" t="s">
        <v>64</v>
      </c>
      <c r="E75" t="s">
        <v>59</v>
      </c>
      <c r="F75" t="s">
        <v>60</v>
      </c>
      <c r="G75">
        <v>30000</v>
      </c>
      <c r="H75">
        <v>20</v>
      </c>
      <c r="I75">
        <v>20</v>
      </c>
      <c r="J75">
        <v>0</v>
      </c>
      <c r="K75">
        <v>1</v>
      </c>
      <c r="L75">
        <v>20000000</v>
      </c>
      <c r="M75">
        <v>144</v>
      </c>
      <c r="N75">
        <v>144</v>
      </c>
      <c r="O75">
        <v>144</v>
      </c>
      <c r="P75">
        <v>0</v>
      </c>
      <c r="Q75" t="s">
        <v>61</v>
      </c>
      <c r="R75">
        <v>100010107113540</v>
      </c>
      <c r="S75">
        <v>9999000</v>
      </c>
      <c r="T75">
        <v>100010107113540</v>
      </c>
      <c r="U75">
        <v>9999000</v>
      </c>
      <c r="V75" t="s">
        <v>74</v>
      </c>
      <c r="W75">
        <v>54</v>
      </c>
      <c r="X75">
        <v>9998999</v>
      </c>
      <c r="Y75">
        <v>9999000</v>
      </c>
      <c r="Z75">
        <v>19997999</v>
      </c>
      <c r="AA75">
        <v>9999000</v>
      </c>
      <c r="AB75">
        <v>2</v>
      </c>
      <c r="AC75">
        <v>1</v>
      </c>
      <c r="AD75">
        <v>29.874199999999998</v>
      </c>
      <c r="AE75">
        <v>959903952</v>
      </c>
      <c r="AI75" t="s">
        <v>266</v>
      </c>
      <c r="AP75">
        <v>821864838</v>
      </c>
      <c r="AQ75">
        <v>0</v>
      </c>
      <c r="AR75">
        <v>547949809</v>
      </c>
      <c r="AS75">
        <v>821864838</v>
      </c>
      <c r="AT75">
        <v>1369814647</v>
      </c>
      <c r="AU75">
        <v>27395494</v>
      </c>
      <c r="AV75">
        <v>0</v>
      </c>
      <c r="AW75">
        <v>18264993</v>
      </c>
      <c r="AX75">
        <v>27395494</v>
      </c>
      <c r="AY75">
        <v>45660488</v>
      </c>
      <c r="AZ75">
        <v>45.386099999999999</v>
      </c>
      <c r="BA75">
        <v>19.218</v>
      </c>
      <c r="BB75">
        <v>8776.02</v>
      </c>
      <c r="BD75">
        <v>2962</v>
      </c>
      <c r="BE75">
        <v>522</v>
      </c>
      <c r="BF75" t="str">
        <f t="shared" si="2"/>
        <v>u=40%, k=2x10^7</v>
      </c>
      <c r="BG75">
        <f t="shared" si="3"/>
        <v>0</v>
      </c>
    </row>
    <row r="76" spans="1:59">
      <c r="A76" t="s">
        <v>267</v>
      </c>
      <c r="B76" t="s">
        <v>153</v>
      </c>
      <c r="D76" t="s">
        <v>64</v>
      </c>
      <c r="E76" t="s">
        <v>59</v>
      </c>
      <c r="F76" t="s">
        <v>60</v>
      </c>
      <c r="G76">
        <v>30000</v>
      </c>
      <c r="H76">
        <v>20</v>
      </c>
      <c r="I76">
        <v>20</v>
      </c>
      <c r="J76">
        <v>0</v>
      </c>
      <c r="K76">
        <v>1</v>
      </c>
      <c r="L76">
        <v>20000000</v>
      </c>
      <c r="M76">
        <v>190</v>
      </c>
      <c r="N76">
        <v>190</v>
      </c>
      <c r="O76">
        <v>190</v>
      </c>
      <c r="P76">
        <v>0</v>
      </c>
      <c r="Q76" t="s">
        <v>61</v>
      </c>
      <c r="R76">
        <v>99986003312961</v>
      </c>
      <c r="S76">
        <v>9999149</v>
      </c>
      <c r="T76">
        <v>99986003312961</v>
      </c>
      <c r="U76">
        <v>9999149</v>
      </c>
      <c r="V76" t="s">
        <v>74</v>
      </c>
      <c r="W76">
        <v>56</v>
      </c>
      <c r="X76">
        <v>9999148</v>
      </c>
      <c r="Y76">
        <v>9999149</v>
      </c>
      <c r="Z76">
        <v>19998297</v>
      </c>
      <c r="AA76">
        <v>9999149</v>
      </c>
      <c r="AB76">
        <v>2</v>
      </c>
      <c r="AC76">
        <v>1</v>
      </c>
      <c r="AD76">
        <v>30.652999999999999</v>
      </c>
      <c r="AE76">
        <v>959918256</v>
      </c>
      <c r="AI76" t="s">
        <v>268</v>
      </c>
      <c r="AP76">
        <v>959255376</v>
      </c>
      <c r="AQ76">
        <v>0</v>
      </c>
      <c r="AR76">
        <v>639474833</v>
      </c>
      <c r="AS76">
        <v>959255376</v>
      </c>
      <c r="AT76">
        <v>1598730209</v>
      </c>
      <c r="AU76">
        <v>31975179</v>
      </c>
      <c r="AV76">
        <v>0</v>
      </c>
      <c r="AW76">
        <v>21315827</v>
      </c>
      <c r="AX76">
        <v>31975179</v>
      </c>
      <c r="AY76">
        <v>53291006</v>
      </c>
      <c r="AZ76">
        <v>45.589599999999997</v>
      </c>
      <c r="BA76">
        <v>19.68</v>
      </c>
      <c r="BB76">
        <v>9799.59</v>
      </c>
      <c r="BD76">
        <v>2942</v>
      </c>
      <c r="BE76">
        <v>513</v>
      </c>
      <c r="BF76" t="str">
        <f t="shared" si="2"/>
        <v>u=40%, k=2x10^7</v>
      </c>
      <c r="BG76">
        <f t="shared" si="3"/>
        <v>0</v>
      </c>
    </row>
    <row r="77" spans="1:59">
      <c r="A77" t="s">
        <v>269</v>
      </c>
      <c r="B77" t="s">
        <v>164</v>
      </c>
      <c r="D77" t="s">
        <v>64</v>
      </c>
      <c r="E77" t="s">
        <v>59</v>
      </c>
      <c r="F77" t="s">
        <v>60</v>
      </c>
      <c r="G77">
        <v>30000</v>
      </c>
      <c r="H77">
        <v>20</v>
      </c>
      <c r="I77">
        <v>20</v>
      </c>
      <c r="J77">
        <v>0</v>
      </c>
      <c r="K77">
        <v>1</v>
      </c>
      <c r="L77">
        <v>20000000</v>
      </c>
      <c r="M77">
        <v>24</v>
      </c>
      <c r="N77">
        <v>24</v>
      </c>
      <c r="O77">
        <v>24</v>
      </c>
      <c r="P77">
        <v>0</v>
      </c>
      <c r="Q77" t="s">
        <v>61</v>
      </c>
      <c r="R77">
        <v>100026455966207</v>
      </c>
      <c r="S77">
        <v>10002604</v>
      </c>
      <c r="T77">
        <v>100026455966207</v>
      </c>
      <c r="U77">
        <v>10002604</v>
      </c>
      <c r="V77" t="s">
        <v>74</v>
      </c>
      <c r="W77">
        <v>57</v>
      </c>
      <c r="X77">
        <v>6549636</v>
      </c>
      <c r="Y77">
        <v>3452968</v>
      </c>
      <c r="Z77">
        <v>10002604</v>
      </c>
      <c r="AA77">
        <v>10002604</v>
      </c>
      <c r="AB77">
        <v>1.5271999999999999</v>
      </c>
      <c r="AC77">
        <v>2.8968099999999999</v>
      </c>
      <c r="AD77">
        <v>28.7502</v>
      </c>
      <c r="AE77">
        <v>1920499968</v>
      </c>
      <c r="AI77" t="s">
        <v>270</v>
      </c>
      <c r="AP77">
        <v>179304451</v>
      </c>
      <c r="AQ77">
        <v>0</v>
      </c>
      <c r="AR77">
        <v>119563337</v>
      </c>
      <c r="AS77">
        <v>179304451</v>
      </c>
      <c r="AT77">
        <v>298867788</v>
      </c>
      <c r="AU77">
        <v>5976815</v>
      </c>
      <c r="AV77">
        <v>0</v>
      </c>
      <c r="AW77">
        <v>3985444</v>
      </c>
      <c r="AX77">
        <v>5976815</v>
      </c>
      <c r="AY77">
        <v>9962259</v>
      </c>
      <c r="AZ77">
        <v>32.969099999999997</v>
      </c>
      <c r="BA77">
        <v>9.9082000000000008</v>
      </c>
      <c r="BB77">
        <v>6720.14</v>
      </c>
      <c r="BD77">
        <v>3039</v>
      </c>
      <c r="BE77">
        <v>1657</v>
      </c>
      <c r="BF77" t="str">
        <f t="shared" si="2"/>
        <v>u=40%, k=2x10^7</v>
      </c>
      <c r="BG77">
        <f t="shared" si="3"/>
        <v>0</v>
      </c>
    </row>
    <row r="78" spans="1:59">
      <c r="A78" t="s">
        <v>271</v>
      </c>
      <c r="B78" t="s">
        <v>164</v>
      </c>
      <c r="D78" t="s">
        <v>64</v>
      </c>
      <c r="E78" t="s">
        <v>59</v>
      </c>
      <c r="F78" t="s">
        <v>60</v>
      </c>
      <c r="G78">
        <v>30000</v>
      </c>
      <c r="H78">
        <v>20</v>
      </c>
      <c r="I78">
        <v>20</v>
      </c>
      <c r="J78">
        <v>0</v>
      </c>
      <c r="K78">
        <v>1</v>
      </c>
      <c r="L78">
        <v>20000000</v>
      </c>
      <c r="M78">
        <v>48</v>
      </c>
      <c r="N78">
        <v>48</v>
      </c>
      <c r="O78">
        <v>48</v>
      </c>
      <c r="P78">
        <v>0</v>
      </c>
      <c r="Q78" t="s">
        <v>61</v>
      </c>
      <c r="R78">
        <v>100016801745485</v>
      </c>
      <c r="S78">
        <v>10000551</v>
      </c>
      <c r="T78">
        <v>100016801745485</v>
      </c>
      <c r="U78">
        <v>10000551</v>
      </c>
      <c r="V78" t="s">
        <v>74</v>
      </c>
      <c r="W78">
        <v>63</v>
      </c>
      <c r="X78">
        <v>6543886</v>
      </c>
      <c r="Y78">
        <v>3456665</v>
      </c>
      <c r="Z78">
        <v>10000551</v>
      </c>
      <c r="AA78">
        <v>10000551</v>
      </c>
      <c r="AB78">
        <v>1.52823</v>
      </c>
      <c r="AC78">
        <v>2.8931200000000001</v>
      </c>
      <c r="AD78">
        <v>28.775099999999998</v>
      </c>
      <c r="AE78">
        <v>1920105792</v>
      </c>
      <c r="AI78" t="s">
        <v>272</v>
      </c>
      <c r="AP78">
        <v>351003606</v>
      </c>
      <c r="AQ78">
        <v>0</v>
      </c>
      <c r="AR78">
        <v>233994525</v>
      </c>
      <c r="AS78">
        <v>351003606</v>
      </c>
      <c r="AT78">
        <v>584998131</v>
      </c>
      <c r="AU78">
        <v>11700120</v>
      </c>
      <c r="AV78">
        <v>0</v>
      </c>
      <c r="AW78">
        <v>7799817</v>
      </c>
      <c r="AX78">
        <v>11700120</v>
      </c>
      <c r="AY78">
        <v>19499937</v>
      </c>
      <c r="AZ78">
        <v>33.473799999999997</v>
      </c>
      <c r="BA78">
        <v>9.24404</v>
      </c>
      <c r="BB78">
        <v>6864.49</v>
      </c>
      <c r="BD78">
        <v>3158</v>
      </c>
      <c r="BE78">
        <v>1186</v>
      </c>
      <c r="BF78" t="str">
        <f t="shared" si="2"/>
        <v>u=40%, k=2x10^7</v>
      </c>
      <c r="BG78">
        <f t="shared" si="3"/>
        <v>0</v>
      </c>
    </row>
    <row r="79" spans="1:59">
      <c r="A79" t="s">
        <v>273</v>
      </c>
      <c r="B79" t="s">
        <v>164</v>
      </c>
      <c r="D79" t="s">
        <v>64</v>
      </c>
      <c r="E79" t="s">
        <v>59</v>
      </c>
      <c r="F79" t="s">
        <v>60</v>
      </c>
      <c r="G79">
        <v>30000</v>
      </c>
      <c r="H79">
        <v>20</v>
      </c>
      <c r="I79">
        <v>20</v>
      </c>
      <c r="J79">
        <v>0</v>
      </c>
      <c r="K79">
        <v>1</v>
      </c>
      <c r="L79">
        <v>20000000</v>
      </c>
      <c r="M79">
        <v>96</v>
      </c>
      <c r="N79">
        <v>96</v>
      </c>
      <c r="O79">
        <v>96</v>
      </c>
      <c r="P79">
        <v>0</v>
      </c>
      <c r="Q79" t="s">
        <v>61</v>
      </c>
      <c r="R79">
        <v>100007133649090</v>
      </c>
      <c r="S79">
        <v>10001993</v>
      </c>
      <c r="T79">
        <v>100007133649090</v>
      </c>
      <c r="U79">
        <v>10001993</v>
      </c>
      <c r="V79" t="s">
        <v>74</v>
      </c>
      <c r="W79">
        <v>56</v>
      </c>
      <c r="X79">
        <v>6546833</v>
      </c>
      <c r="Y79">
        <v>3455160</v>
      </c>
      <c r="Z79">
        <v>10001993</v>
      </c>
      <c r="AA79">
        <v>10001993</v>
      </c>
      <c r="AB79">
        <v>1.52776</v>
      </c>
      <c r="AC79">
        <v>2.8948</v>
      </c>
      <c r="AD79">
        <v>29.297999999999998</v>
      </c>
      <c r="AE79">
        <v>1920382656</v>
      </c>
      <c r="AI79" t="s">
        <v>274</v>
      </c>
      <c r="AP79">
        <v>730468515</v>
      </c>
      <c r="AQ79">
        <v>0</v>
      </c>
      <c r="AR79">
        <v>486987512</v>
      </c>
      <c r="AS79">
        <v>730468515</v>
      </c>
      <c r="AT79">
        <v>1217456027</v>
      </c>
      <c r="AU79">
        <v>24348950</v>
      </c>
      <c r="AV79">
        <v>0</v>
      </c>
      <c r="AW79">
        <v>16232917</v>
      </c>
      <c r="AX79">
        <v>24348950</v>
      </c>
      <c r="AY79">
        <v>40581867</v>
      </c>
      <c r="AZ79">
        <v>34.4621</v>
      </c>
      <c r="BA79">
        <v>9.4745200000000001</v>
      </c>
      <c r="BB79">
        <v>6591.22</v>
      </c>
      <c r="BD79">
        <v>4230</v>
      </c>
      <c r="BE79">
        <v>880</v>
      </c>
      <c r="BF79" t="str">
        <f t="shared" si="2"/>
        <v>u=40%, k=2x10^7</v>
      </c>
      <c r="BG79">
        <f t="shared" si="3"/>
        <v>0</v>
      </c>
    </row>
    <row r="80" spans="1:59">
      <c r="A80" t="s">
        <v>275</v>
      </c>
      <c r="B80" t="s">
        <v>164</v>
      </c>
      <c r="D80" t="s">
        <v>64</v>
      </c>
      <c r="E80" t="s">
        <v>59</v>
      </c>
      <c r="F80" t="s">
        <v>60</v>
      </c>
      <c r="G80">
        <v>30000</v>
      </c>
      <c r="H80">
        <v>20</v>
      </c>
      <c r="I80">
        <v>20</v>
      </c>
      <c r="J80">
        <v>0</v>
      </c>
      <c r="K80">
        <v>1</v>
      </c>
      <c r="L80">
        <v>20000000</v>
      </c>
      <c r="M80">
        <v>144</v>
      </c>
      <c r="N80">
        <v>144</v>
      </c>
      <c r="O80">
        <v>144</v>
      </c>
      <c r="P80">
        <v>0</v>
      </c>
      <c r="Q80" t="s">
        <v>61</v>
      </c>
      <c r="R80">
        <v>99990657386554</v>
      </c>
      <c r="S80">
        <v>9999252</v>
      </c>
      <c r="T80">
        <v>99990657386554</v>
      </c>
      <c r="U80">
        <v>9999252</v>
      </c>
      <c r="V80" t="s">
        <v>74</v>
      </c>
      <c r="W80">
        <v>58</v>
      </c>
      <c r="X80">
        <v>6544985</v>
      </c>
      <c r="Y80">
        <v>3454267</v>
      </c>
      <c r="Z80">
        <v>9999252</v>
      </c>
      <c r="AA80">
        <v>9999252</v>
      </c>
      <c r="AB80">
        <v>1.5277700000000001</v>
      </c>
      <c r="AC80">
        <v>2.8947500000000002</v>
      </c>
      <c r="AD80">
        <v>28.763300000000001</v>
      </c>
      <c r="AE80">
        <v>1919856384</v>
      </c>
      <c r="AI80" t="s">
        <v>276</v>
      </c>
      <c r="AP80">
        <v>1078985509</v>
      </c>
      <c r="AQ80">
        <v>0</v>
      </c>
      <c r="AR80">
        <v>719347295</v>
      </c>
      <c r="AS80">
        <v>1078985509</v>
      </c>
      <c r="AT80">
        <v>1798332804</v>
      </c>
      <c r="AU80">
        <v>35966183</v>
      </c>
      <c r="AV80">
        <v>0</v>
      </c>
      <c r="AW80">
        <v>23978243</v>
      </c>
      <c r="AX80">
        <v>35966183</v>
      </c>
      <c r="AY80">
        <v>59944426</v>
      </c>
      <c r="AZ80">
        <v>35.136099999999999</v>
      </c>
      <c r="BA80">
        <v>10.1226</v>
      </c>
      <c r="BB80">
        <v>6690.58</v>
      </c>
      <c r="BD80">
        <v>4923</v>
      </c>
      <c r="BE80">
        <v>583</v>
      </c>
      <c r="BF80" t="str">
        <f t="shared" si="2"/>
        <v>u=40%, k=2x10^7</v>
      </c>
      <c r="BG80">
        <f t="shared" si="3"/>
        <v>0</v>
      </c>
    </row>
    <row r="81" spans="1:59">
      <c r="A81" t="s">
        <v>277</v>
      </c>
      <c r="B81" t="s">
        <v>164</v>
      </c>
      <c r="D81" t="s">
        <v>64</v>
      </c>
      <c r="E81" t="s">
        <v>59</v>
      </c>
      <c r="F81" t="s">
        <v>60</v>
      </c>
      <c r="G81">
        <v>30000</v>
      </c>
      <c r="H81">
        <v>20</v>
      </c>
      <c r="I81">
        <v>20</v>
      </c>
      <c r="J81">
        <v>0</v>
      </c>
      <c r="K81">
        <v>1</v>
      </c>
      <c r="L81">
        <v>20000000</v>
      </c>
      <c r="M81">
        <v>190</v>
      </c>
      <c r="N81">
        <v>190</v>
      </c>
      <c r="O81">
        <v>190</v>
      </c>
      <c r="P81">
        <v>0</v>
      </c>
      <c r="Q81" t="s">
        <v>61</v>
      </c>
      <c r="R81">
        <v>100008871533892</v>
      </c>
      <c r="S81">
        <v>10002198</v>
      </c>
      <c r="T81">
        <v>100008871533892</v>
      </c>
      <c r="U81">
        <v>10002198</v>
      </c>
      <c r="V81" t="s">
        <v>74</v>
      </c>
      <c r="W81">
        <v>58</v>
      </c>
      <c r="X81">
        <v>6547216</v>
      </c>
      <c r="Y81">
        <v>3454982</v>
      </c>
      <c r="Z81">
        <v>10002198</v>
      </c>
      <c r="AA81">
        <v>10002198</v>
      </c>
      <c r="AB81">
        <v>1.5277000000000001</v>
      </c>
      <c r="AC81">
        <v>2.8950100000000001</v>
      </c>
      <c r="AD81">
        <v>28.402200000000001</v>
      </c>
      <c r="AE81">
        <v>1920422016</v>
      </c>
      <c r="AI81" t="s">
        <v>278</v>
      </c>
      <c r="AP81">
        <v>1387191965</v>
      </c>
      <c r="AQ81">
        <v>0</v>
      </c>
      <c r="AR81">
        <v>924775339</v>
      </c>
      <c r="AS81">
        <v>1387191965</v>
      </c>
      <c r="AT81">
        <v>2311967304</v>
      </c>
      <c r="AU81">
        <v>46239732</v>
      </c>
      <c r="AV81">
        <v>0</v>
      </c>
      <c r="AW81">
        <v>30825844</v>
      </c>
      <c r="AX81">
        <v>46239732</v>
      </c>
      <c r="AY81">
        <v>77065576</v>
      </c>
      <c r="AZ81">
        <v>35.439399999999999</v>
      </c>
      <c r="BA81">
        <v>10.4474</v>
      </c>
      <c r="BB81">
        <v>6864.87</v>
      </c>
      <c r="BD81">
        <v>4970</v>
      </c>
      <c r="BE81">
        <v>583</v>
      </c>
      <c r="BF81" t="str">
        <f t="shared" si="2"/>
        <v>u=40%, k=2x10^7</v>
      </c>
      <c r="BG81">
        <f t="shared" si="3"/>
        <v>0</v>
      </c>
    </row>
    <row r="82" spans="1:59">
      <c r="A82" t="s">
        <v>279</v>
      </c>
      <c r="B82" t="s">
        <v>63</v>
      </c>
      <c r="C82">
        <v>72</v>
      </c>
      <c r="D82" t="s">
        <v>64</v>
      </c>
      <c r="E82" t="s">
        <v>59</v>
      </c>
      <c r="F82" t="s">
        <v>60</v>
      </c>
      <c r="G82">
        <v>30000</v>
      </c>
      <c r="H82">
        <v>20</v>
      </c>
      <c r="I82">
        <v>20</v>
      </c>
      <c r="J82">
        <v>0</v>
      </c>
      <c r="K82">
        <v>1</v>
      </c>
      <c r="L82">
        <v>20000000</v>
      </c>
      <c r="M82">
        <v>24</v>
      </c>
      <c r="N82">
        <v>24</v>
      </c>
      <c r="O82">
        <v>24</v>
      </c>
      <c r="P82">
        <v>0</v>
      </c>
      <c r="Q82" t="s">
        <v>61</v>
      </c>
      <c r="R82">
        <v>100027614430479</v>
      </c>
      <c r="S82">
        <v>10002170</v>
      </c>
      <c r="T82">
        <v>100027614430479</v>
      </c>
      <c r="U82">
        <v>10002170</v>
      </c>
      <c r="V82" t="s">
        <v>74</v>
      </c>
      <c r="W82">
        <v>7</v>
      </c>
      <c r="X82">
        <v>1748083</v>
      </c>
      <c r="Y82">
        <v>11692408</v>
      </c>
      <c r="Z82">
        <v>13440491</v>
      </c>
      <c r="AA82">
        <v>10002170</v>
      </c>
      <c r="AB82">
        <v>7.6886999999999999</v>
      </c>
      <c r="AC82">
        <v>0.85544100000000001</v>
      </c>
      <c r="AD82">
        <v>4.0244600000000004</v>
      </c>
      <c r="AE82">
        <v>326925808</v>
      </c>
      <c r="AF82" t="s">
        <v>280</v>
      </c>
      <c r="AG82" t="s">
        <v>281</v>
      </c>
      <c r="AH82">
        <v>62854</v>
      </c>
      <c r="AI82">
        <v>228194</v>
      </c>
      <c r="AP82">
        <v>360920129</v>
      </c>
      <c r="AQ82">
        <v>0</v>
      </c>
      <c r="AR82">
        <v>240641986</v>
      </c>
      <c r="AS82">
        <v>360920129</v>
      </c>
      <c r="AT82">
        <v>601562115</v>
      </c>
      <c r="AU82">
        <v>12030670</v>
      </c>
      <c r="AV82">
        <v>0</v>
      </c>
      <c r="AW82">
        <v>8021399</v>
      </c>
      <c r="AX82">
        <v>12030670</v>
      </c>
      <c r="AY82">
        <v>20052070</v>
      </c>
      <c r="AZ82">
        <v>26.076799999999999</v>
      </c>
      <c r="BA82">
        <v>11.1675</v>
      </c>
      <c r="BB82">
        <v>3309.71</v>
      </c>
      <c r="BD82">
        <v>2450</v>
      </c>
      <c r="BE82">
        <v>155</v>
      </c>
      <c r="BF82" t="str">
        <f t="shared" si="2"/>
        <v>u=40%, k=2x10^7</v>
      </c>
      <c r="BG82" t="str">
        <f t="shared" si="3"/>
        <v>62854</v>
      </c>
    </row>
    <row r="83" spans="1:59">
      <c r="A83" t="s">
        <v>282</v>
      </c>
      <c r="B83" t="s">
        <v>63</v>
      </c>
      <c r="C83">
        <v>72</v>
      </c>
      <c r="D83" t="s">
        <v>64</v>
      </c>
      <c r="E83" t="s">
        <v>59</v>
      </c>
      <c r="F83" t="s">
        <v>60</v>
      </c>
      <c r="G83">
        <v>30000</v>
      </c>
      <c r="H83">
        <v>20</v>
      </c>
      <c r="I83">
        <v>20</v>
      </c>
      <c r="J83">
        <v>0</v>
      </c>
      <c r="K83">
        <v>1</v>
      </c>
      <c r="L83">
        <v>20000000</v>
      </c>
      <c r="M83">
        <v>48</v>
      </c>
      <c r="N83">
        <v>48</v>
      </c>
      <c r="O83">
        <v>48</v>
      </c>
      <c r="P83">
        <v>0</v>
      </c>
      <c r="Q83" t="s">
        <v>61</v>
      </c>
      <c r="R83">
        <v>99989537369685</v>
      </c>
      <c r="S83">
        <v>9999680</v>
      </c>
      <c r="T83">
        <v>99989537369685</v>
      </c>
      <c r="U83">
        <v>9999680</v>
      </c>
      <c r="V83" t="s">
        <v>74</v>
      </c>
      <c r="W83">
        <v>7</v>
      </c>
      <c r="X83">
        <v>1625797</v>
      </c>
      <c r="Y83">
        <v>11442031</v>
      </c>
      <c r="Z83">
        <v>13067828</v>
      </c>
      <c r="AA83">
        <v>9999680</v>
      </c>
      <c r="AB83">
        <v>8.0378000000000007</v>
      </c>
      <c r="AC83">
        <v>0.87394300000000003</v>
      </c>
      <c r="AD83">
        <v>4</v>
      </c>
      <c r="AE83">
        <v>313136240</v>
      </c>
      <c r="AF83" t="s">
        <v>283</v>
      </c>
      <c r="AG83" t="s">
        <v>284</v>
      </c>
      <c r="AH83">
        <v>249830</v>
      </c>
      <c r="AI83">
        <v>95718</v>
      </c>
      <c r="AP83">
        <v>585004015</v>
      </c>
      <c r="AQ83">
        <v>0</v>
      </c>
      <c r="AR83">
        <v>389993036</v>
      </c>
      <c r="AS83">
        <v>585004015</v>
      </c>
      <c r="AT83">
        <v>974997051</v>
      </c>
      <c r="AU83">
        <v>19500133</v>
      </c>
      <c r="AV83">
        <v>0</v>
      </c>
      <c r="AW83">
        <v>12999767</v>
      </c>
      <c r="AX83">
        <v>19500133</v>
      </c>
      <c r="AY83">
        <v>32499901</v>
      </c>
      <c r="AZ83">
        <v>26.860399999999998</v>
      </c>
      <c r="BA83">
        <v>11.854100000000001</v>
      </c>
      <c r="BB83">
        <v>4080.54</v>
      </c>
      <c r="BD83">
        <v>2504</v>
      </c>
      <c r="BE83">
        <v>225</v>
      </c>
      <c r="BF83" t="str">
        <f t="shared" si="2"/>
        <v>u=40%, k=2x10^7</v>
      </c>
      <c r="BG83" t="str">
        <f t="shared" si="3"/>
        <v>249830</v>
      </c>
    </row>
    <row r="84" spans="1:59">
      <c r="A84" t="s">
        <v>285</v>
      </c>
      <c r="B84" t="s">
        <v>63</v>
      </c>
      <c r="C84">
        <v>72</v>
      </c>
      <c r="D84" t="s">
        <v>64</v>
      </c>
      <c r="E84" t="s">
        <v>59</v>
      </c>
      <c r="F84" t="s">
        <v>60</v>
      </c>
      <c r="G84">
        <v>30000</v>
      </c>
      <c r="H84">
        <v>20</v>
      </c>
      <c r="I84">
        <v>20</v>
      </c>
      <c r="J84">
        <v>0</v>
      </c>
      <c r="K84">
        <v>1</v>
      </c>
      <c r="L84">
        <v>20000000</v>
      </c>
      <c r="M84">
        <v>96</v>
      </c>
      <c r="N84">
        <v>96</v>
      </c>
      <c r="O84">
        <v>96</v>
      </c>
      <c r="P84">
        <v>0</v>
      </c>
      <c r="Q84" t="s">
        <v>61</v>
      </c>
      <c r="R84">
        <v>100004964715325</v>
      </c>
      <c r="S84">
        <v>10001430</v>
      </c>
      <c r="T84">
        <v>100004964715325</v>
      </c>
      <c r="U84">
        <v>10001430</v>
      </c>
      <c r="V84" t="s">
        <v>74</v>
      </c>
      <c r="W84">
        <v>7</v>
      </c>
      <c r="X84">
        <v>1724092</v>
      </c>
      <c r="Y84">
        <v>11651206</v>
      </c>
      <c r="Z84">
        <v>13375298</v>
      </c>
      <c r="AA84">
        <v>10001430</v>
      </c>
      <c r="AB84">
        <v>7.7578800000000001</v>
      </c>
      <c r="AC84">
        <v>0.85840300000000003</v>
      </c>
      <c r="AD84">
        <v>4.0201200000000004</v>
      </c>
      <c r="AE84">
        <v>324352176</v>
      </c>
      <c r="AF84" t="s">
        <v>286</v>
      </c>
      <c r="AG84" t="s">
        <v>287</v>
      </c>
      <c r="AH84">
        <v>909905</v>
      </c>
      <c r="AI84">
        <v>45664</v>
      </c>
      <c r="AP84">
        <v>1026605581</v>
      </c>
      <c r="AQ84">
        <v>0</v>
      </c>
      <c r="AR84">
        <v>684388594</v>
      </c>
      <c r="AS84">
        <v>1026605581</v>
      </c>
      <c r="AT84">
        <v>1710994175</v>
      </c>
      <c r="AU84">
        <v>34220186</v>
      </c>
      <c r="AV84">
        <v>0</v>
      </c>
      <c r="AW84">
        <v>22812953</v>
      </c>
      <c r="AX84">
        <v>34220186</v>
      </c>
      <c r="AY84">
        <v>57033139</v>
      </c>
      <c r="AZ84">
        <v>27.692399999999999</v>
      </c>
      <c r="BA84">
        <v>13.6717</v>
      </c>
      <c r="BB84">
        <v>4603.1400000000003</v>
      </c>
      <c r="BD84">
        <v>2634</v>
      </c>
      <c r="BE84">
        <v>226</v>
      </c>
      <c r="BF84" t="str">
        <f t="shared" si="2"/>
        <v>u=40%, k=2x10^7</v>
      </c>
      <c r="BG84" t="str">
        <f t="shared" si="3"/>
        <v>909905</v>
      </c>
    </row>
    <row r="85" spans="1:59">
      <c r="A85" t="s">
        <v>288</v>
      </c>
      <c r="B85" t="s">
        <v>63</v>
      </c>
      <c r="C85">
        <v>72</v>
      </c>
      <c r="D85" t="s">
        <v>64</v>
      </c>
      <c r="E85" t="s">
        <v>59</v>
      </c>
      <c r="F85" t="s">
        <v>60</v>
      </c>
      <c r="G85">
        <v>30000</v>
      </c>
      <c r="H85">
        <v>20</v>
      </c>
      <c r="I85">
        <v>20</v>
      </c>
      <c r="J85">
        <v>0</v>
      </c>
      <c r="K85">
        <v>1</v>
      </c>
      <c r="L85">
        <v>20000000</v>
      </c>
      <c r="M85">
        <v>144</v>
      </c>
      <c r="N85">
        <v>144</v>
      </c>
      <c r="O85">
        <v>144</v>
      </c>
      <c r="P85">
        <v>0</v>
      </c>
      <c r="Q85" t="s">
        <v>61</v>
      </c>
      <c r="R85">
        <v>100018729178647</v>
      </c>
      <c r="S85">
        <v>10002877</v>
      </c>
      <c r="T85">
        <v>100018729178647</v>
      </c>
      <c r="U85">
        <v>10002877</v>
      </c>
      <c r="V85" t="s">
        <v>74</v>
      </c>
      <c r="W85">
        <v>7</v>
      </c>
      <c r="X85">
        <v>1778473</v>
      </c>
      <c r="Y85">
        <v>11770162</v>
      </c>
      <c r="Z85">
        <v>13548635</v>
      </c>
      <c r="AA85">
        <v>10002877</v>
      </c>
      <c r="AB85">
        <v>7.6181299999999998</v>
      </c>
      <c r="AC85">
        <v>0.84984999999999999</v>
      </c>
      <c r="AD85">
        <v>4.03057</v>
      </c>
      <c r="AE85">
        <v>330621888</v>
      </c>
      <c r="AF85" t="s">
        <v>289</v>
      </c>
      <c r="AG85" t="s">
        <v>290</v>
      </c>
      <c r="AH85">
        <v>1866421</v>
      </c>
      <c r="AI85">
        <v>29488</v>
      </c>
      <c r="AP85">
        <v>1437655033</v>
      </c>
      <c r="AQ85">
        <v>0</v>
      </c>
      <c r="AR85">
        <v>958490638</v>
      </c>
      <c r="AS85">
        <v>1437655033</v>
      </c>
      <c r="AT85">
        <v>2396145671</v>
      </c>
      <c r="AU85">
        <v>47921834</v>
      </c>
      <c r="AV85">
        <v>0</v>
      </c>
      <c r="AW85">
        <v>31949687</v>
      </c>
      <c r="AX85">
        <v>47921834</v>
      </c>
      <c r="AY85">
        <v>79871522</v>
      </c>
      <c r="AZ85">
        <v>28.032499999999999</v>
      </c>
      <c r="BA85">
        <v>14.504</v>
      </c>
      <c r="BB85">
        <v>4889.82</v>
      </c>
      <c r="BD85">
        <v>2803</v>
      </c>
      <c r="BE85">
        <v>363</v>
      </c>
      <c r="BF85" t="str">
        <f t="shared" si="2"/>
        <v>u=40%, k=2x10^7</v>
      </c>
      <c r="BG85" t="str">
        <f t="shared" si="3"/>
        <v>1866421</v>
      </c>
    </row>
    <row r="86" spans="1:59">
      <c r="A86" t="s">
        <v>291</v>
      </c>
      <c r="B86" t="s">
        <v>63</v>
      </c>
      <c r="C86">
        <v>72</v>
      </c>
      <c r="D86" t="s">
        <v>64</v>
      </c>
      <c r="E86" t="s">
        <v>59</v>
      </c>
      <c r="F86" t="s">
        <v>60</v>
      </c>
      <c r="G86">
        <v>30000</v>
      </c>
      <c r="H86">
        <v>20</v>
      </c>
      <c r="I86">
        <v>20</v>
      </c>
      <c r="J86">
        <v>0</v>
      </c>
      <c r="K86">
        <v>1</v>
      </c>
      <c r="L86">
        <v>20000000</v>
      </c>
      <c r="M86">
        <v>190</v>
      </c>
      <c r="N86">
        <v>190</v>
      </c>
      <c r="O86">
        <v>190</v>
      </c>
      <c r="P86">
        <v>0</v>
      </c>
      <c r="Q86" t="s">
        <v>61</v>
      </c>
      <c r="R86">
        <v>100013991164673</v>
      </c>
      <c r="S86">
        <v>10001520</v>
      </c>
      <c r="T86">
        <v>100013991164673</v>
      </c>
      <c r="U86">
        <v>10001520</v>
      </c>
      <c r="V86" t="s">
        <v>74</v>
      </c>
      <c r="W86">
        <v>7</v>
      </c>
      <c r="X86">
        <v>1877631</v>
      </c>
      <c r="Y86">
        <v>11977424</v>
      </c>
      <c r="Z86">
        <v>13855055</v>
      </c>
      <c r="AA86">
        <v>10001520</v>
      </c>
      <c r="AB86">
        <v>7.3790100000000001</v>
      </c>
      <c r="AC86">
        <v>0.83503099999999997</v>
      </c>
      <c r="AD86">
        <v>4.05023</v>
      </c>
      <c r="AE86">
        <v>341886368</v>
      </c>
      <c r="AF86" t="s">
        <v>292</v>
      </c>
      <c r="AG86" t="s">
        <v>293</v>
      </c>
      <c r="AH86">
        <v>2897801</v>
      </c>
      <c r="AI86">
        <v>22120</v>
      </c>
      <c r="AP86">
        <v>1729540359</v>
      </c>
      <c r="AQ86">
        <v>0</v>
      </c>
      <c r="AR86">
        <v>1153077609</v>
      </c>
      <c r="AS86">
        <v>1729540359</v>
      </c>
      <c r="AT86">
        <v>2882617968</v>
      </c>
      <c r="AU86">
        <v>57651345</v>
      </c>
      <c r="AV86">
        <v>0</v>
      </c>
      <c r="AW86">
        <v>38435920</v>
      </c>
      <c r="AX86">
        <v>57651345</v>
      </c>
      <c r="AY86">
        <v>96087265</v>
      </c>
      <c r="AZ86">
        <v>28.635899999999999</v>
      </c>
      <c r="BA86">
        <v>15.2934</v>
      </c>
      <c r="BB86">
        <v>5332.95</v>
      </c>
      <c r="BD86">
        <v>2924</v>
      </c>
      <c r="BE86">
        <v>405</v>
      </c>
      <c r="BF86" t="str">
        <f t="shared" si="2"/>
        <v>u=40%, k=2x10^7</v>
      </c>
      <c r="BG86" t="str">
        <f t="shared" si="3"/>
        <v>2897801</v>
      </c>
    </row>
    <row r="87" spans="1:59">
      <c r="A87" t="s">
        <v>294</v>
      </c>
      <c r="B87" t="s">
        <v>65</v>
      </c>
      <c r="C87">
        <v>208</v>
      </c>
      <c r="D87" t="s">
        <v>64</v>
      </c>
      <c r="E87" t="s">
        <v>59</v>
      </c>
      <c r="F87" t="s">
        <v>60</v>
      </c>
      <c r="G87">
        <v>30000</v>
      </c>
      <c r="H87">
        <v>20</v>
      </c>
      <c r="I87">
        <v>20</v>
      </c>
      <c r="J87">
        <v>0</v>
      </c>
      <c r="K87">
        <v>1</v>
      </c>
      <c r="L87">
        <v>20000000</v>
      </c>
      <c r="M87">
        <v>24</v>
      </c>
      <c r="N87">
        <v>24</v>
      </c>
      <c r="O87">
        <v>24</v>
      </c>
      <c r="P87">
        <v>0</v>
      </c>
      <c r="Q87" t="s">
        <v>61</v>
      </c>
      <c r="R87">
        <v>100046813129936</v>
      </c>
      <c r="S87">
        <v>10001815</v>
      </c>
      <c r="T87">
        <v>100046813129936</v>
      </c>
      <c r="U87">
        <v>10001815</v>
      </c>
      <c r="V87" t="s">
        <v>74</v>
      </c>
      <c r="W87">
        <v>9</v>
      </c>
      <c r="X87">
        <v>292898</v>
      </c>
      <c r="Y87">
        <v>1945659</v>
      </c>
      <c r="Z87">
        <v>2238557</v>
      </c>
      <c r="AA87">
        <v>10001815</v>
      </c>
      <c r="AB87">
        <v>7.6427899999999998</v>
      </c>
      <c r="AC87">
        <v>5.1405799999999999</v>
      </c>
      <c r="AD87">
        <v>8</v>
      </c>
      <c r="AE87">
        <v>465619856</v>
      </c>
      <c r="AI87" t="s">
        <v>295</v>
      </c>
      <c r="AP87">
        <v>462506955</v>
      </c>
      <c r="AQ87">
        <v>0</v>
      </c>
      <c r="AR87">
        <v>308331003</v>
      </c>
      <c r="AS87">
        <v>462506955</v>
      </c>
      <c r="AT87">
        <v>770837958</v>
      </c>
      <c r="AU87">
        <v>15416898</v>
      </c>
      <c r="AV87">
        <v>0</v>
      </c>
      <c r="AW87">
        <v>10277700</v>
      </c>
      <c r="AX87">
        <v>15416898</v>
      </c>
      <c r="AY87">
        <v>25694598</v>
      </c>
      <c r="AZ87">
        <v>19.527000000000001</v>
      </c>
      <c r="BA87">
        <v>6.3743699999999999</v>
      </c>
      <c r="BB87">
        <v>2604.46</v>
      </c>
      <c r="BD87">
        <v>1576</v>
      </c>
      <c r="BE87">
        <v>836</v>
      </c>
      <c r="BF87" t="str">
        <f t="shared" si="2"/>
        <v>u=40%, k=2x10^7</v>
      </c>
      <c r="BG87">
        <f t="shared" si="3"/>
        <v>0</v>
      </c>
    </row>
    <row r="88" spans="1:59">
      <c r="A88" t="s">
        <v>296</v>
      </c>
      <c r="B88" t="s">
        <v>65</v>
      </c>
      <c r="C88">
        <v>208</v>
      </c>
      <c r="D88" t="s">
        <v>64</v>
      </c>
      <c r="E88" t="s">
        <v>59</v>
      </c>
      <c r="F88" t="s">
        <v>60</v>
      </c>
      <c r="G88">
        <v>30000</v>
      </c>
      <c r="H88">
        <v>20</v>
      </c>
      <c r="I88">
        <v>20</v>
      </c>
      <c r="J88">
        <v>0</v>
      </c>
      <c r="K88">
        <v>1</v>
      </c>
      <c r="L88">
        <v>20000000</v>
      </c>
      <c r="M88">
        <v>48</v>
      </c>
      <c r="N88">
        <v>48</v>
      </c>
      <c r="O88">
        <v>48</v>
      </c>
      <c r="P88">
        <v>0</v>
      </c>
      <c r="Q88" t="s">
        <v>61</v>
      </c>
      <c r="R88">
        <v>100015677072564</v>
      </c>
      <c r="S88">
        <v>10001372</v>
      </c>
      <c r="T88">
        <v>100015677072564</v>
      </c>
      <c r="U88">
        <v>10001372</v>
      </c>
      <c r="V88" t="s">
        <v>74</v>
      </c>
      <c r="W88">
        <v>9</v>
      </c>
      <c r="X88">
        <v>307365</v>
      </c>
      <c r="Y88">
        <v>1966322</v>
      </c>
      <c r="Z88">
        <v>2273687</v>
      </c>
      <c r="AA88">
        <v>10001372</v>
      </c>
      <c r="AB88">
        <v>7.3973500000000003</v>
      </c>
      <c r="AC88">
        <v>5.0863300000000002</v>
      </c>
      <c r="AD88">
        <v>8</v>
      </c>
      <c r="AE88">
        <v>472926896</v>
      </c>
      <c r="AI88" t="s">
        <v>297</v>
      </c>
      <c r="AP88">
        <v>818230835</v>
      </c>
      <c r="AQ88">
        <v>0</v>
      </c>
      <c r="AR88">
        <v>545469510</v>
      </c>
      <c r="AS88">
        <v>818230835</v>
      </c>
      <c r="AT88">
        <v>1363700345</v>
      </c>
      <c r="AU88">
        <v>27274361</v>
      </c>
      <c r="AV88">
        <v>0</v>
      </c>
      <c r="AW88">
        <v>18182317</v>
      </c>
      <c r="AX88">
        <v>27274361</v>
      </c>
      <c r="AY88">
        <v>45456678</v>
      </c>
      <c r="AZ88">
        <v>20.096499999999999</v>
      </c>
      <c r="BA88">
        <v>6.7445899999999996</v>
      </c>
      <c r="BB88">
        <v>2942.82</v>
      </c>
      <c r="BD88">
        <v>1705</v>
      </c>
      <c r="BE88">
        <v>772</v>
      </c>
      <c r="BF88" t="str">
        <f t="shared" si="2"/>
        <v>u=40%, k=2x10^7</v>
      </c>
      <c r="BG88">
        <f t="shared" si="3"/>
        <v>0</v>
      </c>
    </row>
    <row r="89" spans="1:59">
      <c r="A89" t="s">
        <v>298</v>
      </c>
      <c r="B89" t="s">
        <v>65</v>
      </c>
      <c r="C89">
        <v>208</v>
      </c>
      <c r="D89" t="s">
        <v>64</v>
      </c>
      <c r="E89" t="s">
        <v>59</v>
      </c>
      <c r="F89" t="s">
        <v>60</v>
      </c>
      <c r="G89">
        <v>30000</v>
      </c>
      <c r="H89">
        <v>20</v>
      </c>
      <c r="I89">
        <v>20</v>
      </c>
      <c r="J89">
        <v>0</v>
      </c>
      <c r="K89">
        <v>1</v>
      </c>
      <c r="L89">
        <v>20000000</v>
      </c>
      <c r="M89">
        <v>96</v>
      </c>
      <c r="N89">
        <v>96</v>
      </c>
      <c r="O89">
        <v>96</v>
      </c>
      <c r="P89">
        <v>0</v>
      </c>
      <c r="Q89" t="s">
        <v>61</v>
      </c>
      <c r="R89">
        <v>99993844398964</v>
      </c>
      <c r="S89">
        <v>9999722</v>
      </c>
      <c r="T89">
        <v>99993844398964</v>
      </c>
      <c r="U89">
        <v>9999722</v>
      </c>
      <c r="V89" t="s">
        <v>74</v>
      </c>
      <c r="W89">
        <v>9</v>
      </c>
      <c r="X89">
        <v>319933</v>
      </c>
      <c r="Y89">
        <v>1959522</v>
      </c>
      <c r="Z89">
        <v>2279455</v>
      </c>
      <c r="AA89">
        <v>9999722</v>
      </c>
      <c r="AB89">
        <v>7.12479</v>
      </c>
      <c r="AC89">
        <v>5.1031399999999998</v>
      </c>
      <c r="AD89">
        <v>8</v>
      </c>
      <c r="AE89">
        <v>474126640</v>
      </c>
      <c r="AI89" t="s">
        <v>299</v>
      </c>
      <c r="AP89">
        <v>1491148854</v>
      </c>
      <c r="AQ89">
        <v>0</v>
      </c>
      <c r="AR89">
        <v>994079288</v>
      </c>
      <c r="AS89">
        <v>1491148854</v>
      </c>
      <c r="AT89">
        <v>2485228142</v>
      </c>
      <c r="AU89">
        <v>49704961</v>
      </c>
      <c r="AV89">
        <v>0</v>
      </c>
      <c r="AW89">
        <v>33135976</v>
      </c>
      <c r="AX89">
        <v>49704961</v>
      </c>
      <c r="AY89">
        <v>82840938</v>
      </c>
      <c r="AZ89">
        <v>21.424399999999999</v>
      </c>
      <c r="BA89">
        <v>7.6622700000000004</v>
      </c>
      <c r="BB89">
        <v>3216.22</v>
      </c>
      <c r="BD89">
        <v>2137</v>
      </c>
      <c r="BE89">
        <v>892</v>
      </c>
      <c r="BF89" t="str">
        <f t="shared" si="2"/>
        <v>u=40%, k=2x10^7</v>
      </c>
      <c r="BG89">
        <f t="shared" si="3"/>
        <v>0</v>
      </c>
    </row>
    <row r="90" spans="1:59">
      <c r="A90" t="s">
        <v>300</v>
      </c>
      <c r="B90" t="s">
        <v>65</v>
      </c>
      <c r="C90">
        <v>208</v>
      </c>
      <c r="D90" t="s">
        <v>64</v>
      </c>
      <c r="E90" t="s">
        <v>59</v>
      </c>
      <c r="F90" t="s">
        <v>60</v>
      </c>
      <c r="G90">
        <v>30000</v>
      </c>
      <c r="H90">
        <v>20</v>
      </c>
      <c r="I90">
        <v>20</v>
      </c>
      <c r="J90">
        <v>0</v>
      </c>
      <c r="K90">
        <v>1</v>
      </c>
      <c r="L90">
        <v>20000000</v>
      </c>
      <c r="M90">
        <v>144</v>
      </c>
      <c r="N90">
        <v>144</v>
      </c>
      <c r="O90">
        <v>144</v>
      </c>
      <c r="P90">
        <v>0</v>
      </c>
      <c r="Q90" t="s">
        <v>61</v>
      </c>
      <c r="R90">
        <v>99963062977227</v>
      </c>
      <c r="S90">
        <v>9996795</v>
      </c>
      <c r="T90">
        <v>99963062977227</v>
      </c>
      <c r="U90">
        <v>9996795</v>
      </c>
      <c r="V90" t="s">
        <v>74</v>
      </c>
      <c r="W90">
        <v>9</v>
      </c>
      <c r="X90">
        <v>324845</v>
      </c>
      <c r="Y90">
        <v>1956134</v>
      </c>
      <c r="Z90">
        <v>2280979</v>
      </c>
      <c r="AA90">
        <v>9996795</v>
      </c>
      <c r="AB90">
        <v>7.0217499999999999</v>
      </c>
      <c r="AC90">
        <v>5.1104900000000004</v>
      </c>
      <c r="AD90">
        <v>8</v>
      </c>
      <c r="AE90">
        <v>474443632</v>
      </c>
      <c r="AI90" t="s">
        <v>301</v>
      </c>
      <c r="AP90">
        <v>1926183646</v>
      </c>
      <c r="AQ90">
        <v>0</v>
      </c>
      <c r="AR90">
        <v>1284067539</v>
      </c>
      <c r="AS90">
        <v>1926183646</v>
      </c>
      <c r="AT90">
        <v>3210251185</v>
      </c>
      <c r="AU90">
        <v>64206121</v>
      </c>
      <c r="AV90">
        <v>0</v>
      </c>
      <c r="AW90">
        <v>42802251</v>
      </c>
      <c r="AX90">
        <v>64206121</v>
      </c>
      <c r="AY90">
        <v>107008372</v>
      </c>
      <c r="AZ90">
        <v>22.514399999999998</v>
      </c>
      <c r="BA90">
        <v>8.61557</v>
      </c>
      <c r="BB90">
        <v>3734.42</v>
      </c>
      <c r="BD90">
        <v>2121</v>
      </c>
      <c r="BE90">
        <v>847</v>
      </c>
      <c r="BF90" t="str">
        <f t="shared" si="2"/>
        <v>u=40%, k=2x10^7</v>
      </c>
      <c r="BG90">
        <f t="shared" si="3"/>
        <v>0</v>
      </c>
    </row>
    <row r="91" spans="1:59">
      <c r="A91" t="s">
        <v>302</v>
      </c>
      <c r="B91" t="s">
        <v>65</v>
      </c>
      <c r="C91">
        <v>208</v>
      </c>
      <c r="D91" t="s">
        <v>64</v>
      </c>
      <c r="E91" t="s">
        <v>59</v>
      </c>
      <c r="F91" t="s">
        <v>60</v>
      </c>
      <c r="G91">
        <v>30000</v>
      </c>
      <c r="H91">
        <v>20</v>
      </c>
      <c r="I91">
        <v>20</v>
      </c>
      <c r="J91">
        <v>0</v>
      </c>
      <c r="K91">
        <v>1</v>
      </c>
      <c r="L91">
        <v>20000000</v>
      </c>
      <c r="M91">
        <v>190</v>
      </c>
      <c r="N91">
        <v>190</v>
      </c>
      <c r="O91">
        <v>190</v>
      </c>
      <c r="P91">
        <v>0</v>
      </c>
      <c r="Q91" t="s">
        <v>61</v>
      </c>
      <c r="R91">
        <v>100063402078489</v>
      </c>
      <c r="S91">
        <v>10005173</v>
      </c>
      <c r="T91">
        <v>100063402078489</v>
      </c>
      <c r="U91">
        <v>10005173</v>
      </c>
      <c r="V91" t="s">
        <v>74</v>
      </c>
      <c r="W91">
        <v>9</v>
      </c>
      <c r="X91">
        <v>327226</v>
      </c>
      <c r="Y91">
        <v>1955734</v>
      </c>
      <c r="Z91">
        <v>2282960</v>
      </c>
      <c r="AA91">
        <v>10005173</v>
      </c>
      <c r="AB91">
        <v>6.9767099999999997</v>
      </c>
      <c r="AC91">
        <v>5.1158099999999997</v>
      </c>
      <c r="AD91">
        <v>8</v>
      </c>
      <c r="AE91">
        <v>474855680</v>
      </c>
      <c r="AI91" t="s">
        <v>303</v>
      </c>
      <c r="AP91">
        <v>2187557069</v>
      </c>
      <c r="AQ91">
        <v>0</v>
      </c>
      <c r="AR91">
        <v>1458443968</v>
      </c>
      <c r="AS91">
        <v>2187557069</v>
      </c>
      <c r="AT91">
        <v>3646001037</v>
      </c>
      <c r="AU91">
        <v>72918568</v>
      </c>
      <c r="AV91">
        <v>0</v>
      </c>
      <c r="AW91">
        <v>48614798</v>
      </c>
      <c r="AX91">
        <v>72918568</v>
      </c>
      <c r="AY91">
        <v>121533367</v>
      </c>
      <c r="AZ91">
        <v>22.898499999999999</v>
      </c>
      <c r="BA91">
        <v>9.0851299999999995</v>
      </c>
      <c r="BB91">
        <v>4306.08</v>
      </c>
      <c r="BD91">
        <v>2263</v>
      </c>
      <c r="BE91">
        <v>929</v>
      </c>
      <c r="BF91" t="str">
        <f t="shared" si="2"/>
        <v>u=40%, k=2x10^7</v>
      </c>
      <c r="BG91">
        <f t="shared" si="3"/>
        <v>0</v>
      </c>
    </row>
    <row r="92" spans="1:59">
      <c r="A92" t="s">
        <v>304</v>
      </c>
      <c r="B92" t="s">
        <v>66</v>
      </c>
      <c r="D92" t="s">
        <v>64</v>
      </c>
      <c r="E92" t="s">
        <v>59</v>
      </c>
      <c r="F92" t="s">
        <v>60</v>
      </c>
      <c r="G92">
        <v>30000</v>
      </c>
      <c r="H92">
        <v>20</v>
      </c>
      <c r="I92">
        <v>20</v>
      </c>
      <c r="J92">
        <v>0</v>
      </c>
      <c r="K92">
        <v>1</v>
      </c>
      <c r="L92">
        <v>20000000</v>
      </c>
      <c r="M92">
        <v>24</v>
      </c>
      <c r="N92">
        <v>24</v>
      </c>
      <c r="O92">
        <v>24</v>
      </c>
      <c r="P92">
        <v>0</v>
      </c>
      <c r="Q92" t="s">
        <v>61</v>
      </c>
      <c r="R92">
        <v>99995087424081</v>
      </c>
      <c r="S92">
        <v>9999034</v>
      </c>
      <c r="T92">
        <v>99995087424081</v>
      </c>
      <c r="U92">
        <v>9999034</v>
      </c>
      <c r="V92" t="s">
        <v>74</v>
      </c>
      <c r="W92">
        <v>29</v>
      </c>
      <c r="X92">
        <v>6857903</v>
      </c>
      <c r="Y92">
        <v>5201169</v>
      </c>
      <c r="Z92">
        <v>12059072</v>
      </c>
      <c r="AA92">
        <v>9999034</v>
      </c>
      <c r="AB92">
        <v>1.7584200000000001</v>
      </c>
      <c r="AC92">
        <v>1.9224600000000001</v>
      </c>
      <c r="AD92">
        <v>23.208200000000001</v>
      </c>
      <c r="AE92">
        <v>675308032</v>
      </c>
      <c r="AI92" t="s">
        <v>305</v>
      </c>
      <c r="AP92">
        <v>225572893</v>
      </c>
      <c r="AQ92">
        <v>0</v>
      </c>
      <c r="AR92">
        <v>150370674</v>
      </c>
      <c r="AS92">
        <v>225572893</v>
      </c>
      <c r="AT92">
        <v>375943567</v>
      </c>
      <c r="AU92">
        <v>7519096</v>
      </c>
      <c r="AV92">
        <v>0</v>
      </c>
      <c r="AW92">
        <v>5012355</v>
      </c>
      <c r="AX92">
        <v>7519096</v>
      </c>
      <c r="AY92">
        <v>12531452</v>
      </c>
      <c r="AZ92">
        <v>30.0183</v>
      </c>
      <c r="BA92">
        <v>10.647399999999999</v>
      </c>
      <c r="BB92">
        <v>5341.55</v>
      </c>
      <c r="BD92">
        <v>1861</v>
      </c>
      <c r="BE92">
        <v>1451</v>
      </c>
      <c r="BF92" t="str">
        <f t="shared" si="2"/>
        <v>u=40%, k=2x10^7</v>
      </c>
      <c r="BG92">
        <f t="shared" si="3"/>
        <v>0</v>
      </c>
    </row>
    <row r="93" spans="1:59">
      <c r="A93" t="s">
        <v>306</v>
      </c>
      <c r="B93" t="s">
        <v>66</v>
      </c>
      <c r="D93" t="s">
        <v>64</v>
      </c>
      <c r="E93" t="s">
        <v>59</v>
      </c>
      <c r="F93" t="s">
        <v>60</v>
      </c>
      <c r="G93">
        <v>30000</v>
      </c>
      <c r="H93">
        <v>20</v>
      </c>
      <c r="I93">
        <v>20</v>
      </c>
      <c r="J93">
        <v>0</v>
      </c>
      <c r="K93">
        <v>1</v>
      </c>
      <c r="L93">
        <v>20000000</v>
      </c>
      <c r="M93">
        <v>48</v>
      </c>
      <c r="N93">
        <v>48</v>
      </c>
      <c r="O93">
        <v>48</v>
      </c>
      <c r="P93">
        <v>0</v>
      </c>
      <c r="Q93" t="s">
        <v>61</v>
      </c>
      <c r="R93">
        <v>100021831228668</v>
      </c>
      <c r="S93">
        <v>10003234</v>
      </c>
      <c r="T93">
        <v>100021831228668</v>
      </c>
      <c r="U93">
        <v>10003234</v>
      </c>
      <c r="V93" t="s">
        <v>74</v>
      </c>
      <c r="W93">
        <v>29</v>
      </c>
      <c r="X93">
        <v>6859562</v>
      </c>
      <c r="Y93">
        <v>5206025</v>
      </c>
      <c r="Z93">
        <v>12065587</v>
      </c>
      <c r="AA93">
        <v>10003234</v>
      </c>
      <c r="AB93">
        <v>1.7589399999999999</v>
      </c>
      <c r="AC93">
        <v>1.92147</v>
      </c>
      <c r="AD93">
        <v>23.246300000000002</v>
      </c>
      <c r="AE93">
        <v>675672872</v>
      </c>
      <c r="AI93" t="s">
        <v>307</v>
      </c>
      <c r="AP93">
        <v>423378852</v>
      </c>
      <c r="AQ93">
        <v>0</v>
      </c>
      <c r="AR93">
        <v>282301502</v>
      </c>
      <c r="AS93">
        <v>423378852</v>
      </c>
      <c r="AT93">
        <v>705680354</v>
      </c>
      <c r="AU93">
        <v>14112628</v>
      </c>
      <c r="AV93">
        <v>0</v>
      </c>
      <c r="AW93">
        <v>9410050</v>
      </c>
      <c r="AX93">
        <v>14112628</v>
      </c>
      <c r="AY93">
        <v>23522678</v>
      </c>
      <c r="AZ93">
        <v>30.6632</v>
      </c>
      <c r="BA93">
        <v>10.56</v>
      </c>
      <c r="BB93">
        <v>5690.16</v>
      </c>
      <c r="BD93">
        <v>1892</v>
      </c>
      <c r="BE93">
        <v>1041</v>
      </c>
      <c r="BF93" t="str">
        <f t="shared" si="2"/>
        <v>u=40%, k=2x10^7</v>
      </c>
      <c r="BG93">
        <f t="shared" si="3"/>
        <v>0</v>
      </c>
    </row>
    <row r="94" spans="1:59">
      <c r="A94" t="s">
        <v>308</v>
      </c>
      <c r="B94" t="s">
        <v>66</v>
      </c>
      <c r="D94" t="s">
        <v>64</v>
      </c>
      <c r="E94" t="s">
        <v>59</v>
      </c>
      <c r="F94" t="s">
        <v>60</v>
      </c>
      <c r="G94">
        <v>30000</v>
      </c>
      <c r="H94">
        <v>20</v>
      </c>
      <c r="I94">
        <v>20</v>
      </c>
      <c r="J94">
        <v>0</v>
      </c>
      <c r="K94">
        <v>1</v>
      </c>
      <c r="L94">
        <v>20000000</v>
      </c>
      <c r="M94">
        <v>96</v>
      </c>
      <c r="N94">
        <v>96</v>
      </c>
      <c r="O94">
        <v>96</v>
      </c>
      <c r="P94">
        <v>0</v>
      </c>
      <c r="Q94" t="s">
        <v>61</v>
      </c>
      <c r="R94">
        <v>100025311036202</v>
      </c>
      <c r="S94">
        <v>10000677</v>
      </c>
      <c r="T94">
        <v>100025311036202</v>
      </c>
      <c r="U94">
        <v>10000677</v>
      </c>
      <c r="V94" t="s">
        <v>74</v>
      </c>
      <c r="W94">
        <v>29</v>
      </c>
      <c r="X94">
        <v>6858435</v>
      </c>
      <c r="Y94">
        <v>5202272</v>
      </c>
      <c r="Z94">
        <v>12060707</v>
      </c>
      <c r="AA94">
        <v>10000677</v>
      </c>
      <c r="AB94">
        <v>1.7585200000000001</v>
      </c>
      <c r="AC94">
        <v>1.9223699999999999</v>
      </c>
      <c r="AD94">
        <v>23.256799999999998</v>
      </c>
      <c r="AE94">
        <v>675399592</v>
      </c>
      <c r="AI94" t="s">
        <v>309</v>
      </c>
      <c r="AP94">
        <v>880004524</v>
      </c>
      <c r="AQ94">
        <v>0</v>
      </c>
      <c r="AR94">
        <v>586677342</v>
      </c>
      <c r="AS94">
        <v>880004524</v>
      </c>
      <c r="AT94">
        <v>1466681866</v>
      </c>
      <c r="AU94">
        <v>29333484</v>
      </c>
      <c r="AV94">
        <v>0</v>
      </c>
      <c r="AW94">
        <v>19555911</v>
      </c>
      <c r="AX94">
        <v>29333484</v>
      </c>
      <c r="AY94">
        <v>48889395</v>
      </c>
      <c r="AZ94">
        <v>31.360199999999999</v>
      </c>
      <c r="BA94">
        <v>11.197100000000001</v>
      </c>
      <c r="BB94">
        <v>5469.36</v>
      </c>
      <c r="BD94">
        <v>2056</v>
      </c>
      <c r="BE94">
        <v>766</v>
      </c>
      <c r="BF94" t="str">
        <f t="shared" si="2"/>
        <v>u=40%, k=2x10^7</v>
      </c>
      <c r="BG94">
        <f t="shared" si="3"/>
        <v>0</v>
      </c>
    </row>
    <row r="95" spans="1:59">
      <c r="A95" t="s">
        <v>310</v>
      </c>
      <c r="B95" t="s">
        <v>66</v>
      </c>
      <c r="D95" t="s">
        <v>64</v>
      </c>
      <c r="E95" t="s">
        <v>59</v>
      </c>
      <c r="F95" t="s">
        <v>60</v>
      </c>
      <c r="G95">
        <v>30000</v>
      </c>
      <c r="H95">
        <v>20</v>
      </c>
      <c r="I95">
        <v>20</v>
      </c>
      <c r="J95">
        <v>0</v>
      </c>
      <c r="K95">
        <v>1</v>
      </c>
      <c r="L95">
        <v>20000000</v>
      </c>
      <c r="M95">
        <v>144</v>
      </c>
      <c r="N95">
        <v>144</v>
      </c>
      <c r="O95">
        <v>144</v>
      </c>
      <c r="P95">
        <v>0</v>
      </c>
      <c r="Q95" t="s">
        <v>61</v>
      </c>
      <c r="R95">
        <v>100056610850082</v>
      </c>
      <c r="S95">
        <v>10003504</v>
      </c>
      <c r="T95">
        <v>100056610850082</v>
      </c>
      <c r="U95">
        <v>10003504</v>
      </c>
      <c r="V95" t="s">
        <v>74</v>
      </c>
      <c r="W95">
        <v>29</v>
      </c>
      <c r="X95">
        <v>6859414</v>
      </c>
      <c r="Y95">
        <v>5203079</v>
      </c>
      <c r="Z95">
        <v>12062493</v>
      </c>
      <c r="AA95">
        <v>10003504</v>
      </c>
      <c r="AB95">
        <v>1.7585299999999999</v>
      </c>
      <c r="AC95">
        <v>1.9226099999999999</v>
      </c>
      <c r="AD95">
        <v>23.2118</v>
      </c>
      <c r="AE95">
        <v>675499608</v>
      </c>
      <c r="AI95" t="s">
        <v>311</v>
      </c>
      <c r="AP95">
        <v>1291988744</v>
      </c>
      <c r="AQ95">
        <v>0</v>
      </c>
      <c r="AR95">
        <v>861342869</v>
      </c>
      <c r="AS95">
        <v>1291988744</v>
      </c>
      <c r="AT95">
        <v>2153331613</v>
      </c>
      <c r="AU95">
        <v>43066291</v>
      </c>
      <c r="AV95">
        <v>0</v>
      </c>
      <c r="AW95">
        <v>28711428</v>
      </c>
      <c r="AX95">
        <v>43066291</v>
      </c>
      <c r="AY95">
        <v>71777720</v>
      </c>
      <c r="AZ95">
        <v>32.14</v>
      </c>
      <c r="BA95">
        <v>11.8292</v>
      </c>
      <c r="BB95">
        <v>5579.71</v>
      </c>
      <c r="BD95">
        <v>2426</v>
      </c>
      <c r="BE95">
        <v>476</v>
      </c>
      <c r="BF95" t="str">
        <f t="shared" si="2"/>
        <v>u=40%, k=2x10^7</v>
      </c>
      <c r="BG95">
        <f t="shared" si="3"/>
        <v>0</v>
      </c>
    </row>
    <row r="96" spans="1:59">
      <c r="A96" t="s">
        <v>312</v>
      </c>
      <c r="B96" t="s">
        <v>66</v>
      </c>
      <c r="D96" t="s">
        <v>64</v>
      </c>
      <c r="E96" t="s">
        <v>59</v>
      </c>
      <c r="F96" t="s">
        <v>60</v>
      </c>
      <c r="G96">
        <v>30000</v>
      </c>
      <c r="H96">
        <v>20</v>
      </c>
      <c r="I96">
        <v>20</v>
      </c>
      <c r="J96">
        <v>0</v>
      </c>
      <c r="K96">
        <v>1</v>
      </c>
      <c r="L96">
        <v>20000000</v>
      </c>
      <c r="M96">
        <v>190</v>
      </c>
      <c r="N96">
        <v>190</v>
      </c>
      <c r="O96">
        <v>190</v>
      </c>
      <c r="P96">
        <v>0</v>
      </c>
      <c r="Q96" t="s">
        <v>61</v>
      </c>
      <c r="R96">
        <v>99976800262830</v>
      </c>
      <c r="S96">
        <v>9997367</v>
      </c>
      <c r="T96">
        <v>99976800262830</v>
      </c>
      <c r="U96">
        <v>9997367</v>
      </c>
      <c r="V96" t="s">
        <v>74</v>
      </c>
      <c r="W96">
        <v>29</v>
      </c>
      <c r="X96">
        <v>6858199</v>
      </c>
      <c r="Y96">
        <v>5203970</v>
      </c>
      <c r="Z96">
        <v>12062169</v>
      </c>
      <c r="AA96">
        <v>9997367</v>
      </c>
      <c r="AB96">
        <v>1.7587999999999999</v>
      </c>
      <c r="AC96">
        <v>1.9211</v>
      </c>
      <c r="AD96">
        <v>23.193000000000001</v>
      </c>
      <c r="AE96">
        <v>675481464</v>
      </c>
      <c r="AI96" t="s">
        <v>313</v>
      </c>
      <c r="AP96">
        <v>1665127932</v>
      </c>
      <c r="AQ96">
        <v>0</v>
      </c>
      <c r="AR96">
        <v>1110022508</v>
      </c>
      <c r="AS96">
        <v>1665127932</v>
      </c>
      <c r="AT96">
        <v>2775150440</v>
      </c>
      <c r="AU96">
        <v>55504264</v>
      </c>
      <c r="AV96">
        <v>0</v>
      </c>
      <c r="AW96">
        <v>37000750</v>
      </c>
      <c r="AX96">
        <v>55504264</v>
      </c>
      <c r="AY96">
        <v>92505014</v>
      </c>
      <c r="AZ96">
        <v>32.661499999999997</v>
      </c>
      <c r="BA96">
        <v>12.292299999999999</v>
      </c>
      <c r="BB96">
        <v>5710.87</v>
      </c>
      <c r="BD96">
        <v>2521</v>
      </c>
      <c r="BE96">
        <v>472</v>
      </c>
      <c r="BF96" t="str">
        <f t="shared" si="2"/>
        <v>u=40%, k=2x10^7</v>
      </c>
      <c r="BG96">
        <f t="shared" si="3"/>
        <v>0</v>
      </c>
    </row>
    <row r="97" spans="1:59">
      <c r="A97" t="s">
        <v>314</v>
      </c>
      <c r="B97" t="s">
        <v>67</v>
      </c>
      <c r="D97" t="s">
        <v>64</v>
      </c>
      <c r="E97" t="s">
        <v>59</v>
      </c>
      <c r="F97" t="s">
        <v>60</v>
      </c>
      <c r="G97">
        <v>30000</v>
      </c>
      <c r="H97">
        <v>20</v>
      </c>
      <c r="I97">
        <v>20</v>
      </c>
      <c r="J97">
        <v>0</v>
      </c>
      <c r="K97">
        <v>1</v>
      </c>
      <c r="L97">
        <v>20000000</v>
      </c>
      <c r="M97">
        <v>24</v>
      </c>
      <c r="N97">
        <v>24</v>
      </c>
      <c r="O97">
        <v>24</v>
      </c>
      <c r="P97">
        <v>0</v>
      </c>
      <c r="Q97" t="s">
        <v>61</v>
      </c>
      <c r="R97">
        <v>99992225952310</v>
      </c>
      <c r="S97">
        <v>10000674</v>
      </c>
      <c r="T97">
        <v>99992225952310</v>
      </c>
      <c r="U97">
        <v>10000674</v>
      </c>
      <c r="V97" t="s">
        <v>74</v>
      </c>
      <c r="W97">
        <v>56</v>
      </c>
      <c r="X97">
        <v>10000673</v>
      </c>
      <c r="Y97">
        <v>10000674</v>
      </c>
      <c r="Z97">
        <v>20001347</v>
      </c>
      <c r="AA97">
        <v>10000674</v>
      </c>
      <c r="AB97">
        <v>2</v>
      </c>
      <c r="AC97">
        <v>1</v>
      </c>
      <c r="AD97">
        <v>30.569299999999998</v>
      </c>
      <c r="AE97">
        <v>640043104</v>
      </c>
      <c r="AI97" t="s">
        <v>315</v>
      </c>
      <c r="AP97">
        <v>186812883</v>
      </c>
      <c r="AQ97">
        <v>0</v>
      </c>
      <c r="AR97">
        <v>124530091</v>
      </c>
      <c r="AS97">
        <v>186812883</v>
      </c>
      <c r="AT97">
        <v>311342974</v>
      </c>
      <c r="AU97">
        <v>6227096</v>
      </c>
      <c r="AV97">
        <v>0</v>
      </c>
      <c r="AW97">
        <v>4151003</v>
      </c>
      <c r="AX97">
        <v>6227096</v>
      </c>
      <c r="AY97">
        <v>10378099</v>
      </c>
      <c r="AZ97">
        <v>26.075199999999999</v>
      </c>
      <c r="BA97">
        <v>9.7836999999999996</v>
      </c>
      <c r="BB97">
        <v>6451.08</v>
      </c>
      <c r="BD97">
        <v>1750</v>
      </c>
      <c r="BE97">
        <v>1501</v>
      </c>
      <c r="BF97" t="str">
        <f t="shared" si="2"/>
        <v>u=40%, k=2x10^7</v>
      </c>
      <c r="BG97">
        <f t="shared" si="3"/>
        <v>0</v>
      </c>
    </row>
    <row r="98" spans="1:59">
      <c r="A98" t="s">
        <v>316</v>
      </c>
      <c r="B98" t="s">
        <v>67</v>
      </c>
      <c r="D98" t="s">
        <v>64</v>
      </c>
      <c r="E98" t="s">
        <v>59</v>
      </c>
      <c r="F98" t="s">
        <v>60</v>
      </c>
      <c r="G98">
        <v>30000</v>
      </c>
      <c r="H98">
        <v>20</v>
      </c>
      <c r="I98">
        <v>20</v>
      </c>
      <c r="J98">
        <v>0</v>
      </c>
      <c r="K98">
        <v>1</v>
      </c>
      <c r="L98">
        <v>20000000</v>
      </c>
      <c r="M98">
        <v>48</v>
      </c>
      <c r="N98">
        <v>48</v>
      </c>
      <c r="O98">
        <v>48</v>
      </c>
      <c r="P98">
        <v>0</v>
      </c>
      <c r="Q98" t="s">
        <v>61</v>
      </c>
      <c r="R98">
        <v>99991292820850</v>
      </c>
      <c r="S98">
        <v>10000146</v>
      </c>
      <c r="T98">
        <v>99991292820850</v>
      </c>
      <c r="U98">
        <v>10000146</v>
      </c>
      <c r="V98" t="s">
        <v>74</v>
      </c>
      <c r="W98">
        <v>59</v>
      </c>
      <c r="X98">
        <v>10000145</v>
      </c>
      <c r="Y98">
        <v>10000146</v>
      </c>
      <c r="Z98">
        <v>20000291</v>
      </c>
      <c r="AA98">
        <v>10000146</v>
      </c>
      <c r="AB98">
        <v>2</v>
      </c>
      <c r="AC98">
        <v>1</v>
      </c>
      <c r="AD98">
        <v>30.608899999999998</v>
      </c>
      <c r="AE98">
        <v>640009312</v>
      </c>
      <c r="AI98" t="s">
        <v>317</v>
      </c>
      <c r="AP98">
        <v>360466746</v>
      </c>
      <c r="AQ98">
        <v>0</v>
      </c>
      <c r="AR98">
        <v>240318760</v>
      </c>
      <c r="AS98">
        <v>360466746</v>
      </c>
      <c r="AT98">
        <v>600785506</v>
      </c>
      <c r="AU98">
        <v>12015558</v>
      </c>
      <c r="AV98">
        <v>0</v>
      </c>
      <c r="AW98">
        <v>8010625</v>
      </c>
      <c r="AX98">
        <v>12015558</v>
      </c>
      <c r="AY98">
        <v>20026183</v>
      </c>
      <c r="AZ98">
        <v>26.023099999999999</v>
      </c>
      <c r="BA98">
        <v>9.5957899999999992</v>
      </c>
      <c r="BB98">
        <v>6684.63</v>
      </c>
      <c r="BD98">
        <v>1820</v>
      </c>
      <c r="BE98">
        <v>1066</v>
      </c>
      <c r="BF98" t="str">
        <f t="shared" si="2"/>
        <v>u=40%, k=2x10^7</v>
      </c>
      <c r="BG98">
        <f t="shared" si="3"/>
        <v>0</v>
      </c>
    </row>
    <row r="99" spans="1:59">
      <c r="A99" t="s">
        <v>318</v>
      </c>
      <c r="B99" t="s">
        <v>67</v>
      </c>
      <c r="D99" t="s">
        <v>64</v>
      </c>
      <c r="E99" t="s">
        <v>59</v>
      </c>
      <c r="F99" t="s">
        <v>60</v>
      </c>
      <c r="G99">
        <v>30000</v>
      </c>
      <c r="H99">
        <v>20</v>
      </c>
      <c r="I99">
        <v>20</v>
      </c>
      <c r="J99">
        <v>0</v>
      </c>
      <c r="K99">
        <v>1</v>
      </c>
      <c r="L99">
        <v>20000000</v>
      </c>
      <c r="M99">
        <v>96</v>
      </c>
      <c r="N99">
        <v>96</v>
      </c>
      <c r="O99">
        <v>96</v>
      </c>
      <c r="P99">
        <v>0</v>
      </c>
      <c r="Q99" t="s">
        <v>61</v>
      </c>
      <c r="R99">
        <v>100019190850691</v>
      </c>
      <c r="S99">
        <v>10000818</v>
      </c>
      <c r="T99">
        <v>100019190850691</v>
      </c>
      <c r="U99">
        <v>10000818</v>
      </c>
      <c r="V99" t="s">
        <v>74</v>
      </c>
      <c r="W99">
        <v>59</v>
      </c>
      <c r="X99">
        <v>10000817</v>
      </c>
      <c r="Y99">
        <v>10000818</v>
      </c>
      <c r="Z99">
        <v>20001635</v>
      </c>
      <c r="AA99">
        <v>10000818</v>
      </c>
      <c r="AB99">
        <v>2</v>
      </c>
      <c r="AC99">
        <v>1</v>
      </c>
      <c r="AD99">
        <v>30.6615</v>
      </c>
      <c r="AE99">
        <v>640052320</v>
      </c>
      <c r="AI99" t="s">
        <v>319</v>
      </c>
      <c r="AP99">
        <v>759029954</v>
      </c>
      <c r="AQ99">
        <v>0</v>
      </c>
      <c r="AR99">
        <v>506047918</v>
      </c>
      <c r="AS99">
        <v>759029954</v>
      </c>
      <c r="AT99">
        <v>1265077872</v>
      </c>
      <c r="AU99">
        <v>25300998</v>
      </c>
      <c r="AV99">
        <v>0</v>
      </c>
      <c r="AW99">
        <v>16868263</v>
      </c>
      <c r="AX99">
        <v>25300998</v>
      </c>
      <c r="AY99">
        <v>42169262</v>
      </c>
      <c r="AZ99">
        <v>27.539100000000001</v>
      </c>
      <c r="BA99">
        <v>10.6226</v>
      </c>
      <c r="BB99">
        <v>6343.19</v>
      </c>
      <c r="BD99">
        <v>2279</v>
      </c>
      <c r="BE99">
        <v>781</v>
      </c>
      <c r="BF99" t="str">
        <f t="shared" si="2"/>
        <v>u=40%, k=2x10^7</v>
      </c>
      <c r="BG99">
        <f t="shared" si="3"/>
        <v>0</v>
      </c>
    </row>
    <row r="100" spans="1:59">
      <c r="A100" t="s">
        <v>320</v>
      </c>
      <c r="B100" t="s">
        <v>67</v>
      </c>
      <c r="D100" t="s">
        <v>64</v>
      </c>
      <c r="E100" t="s">
        <v>59</v>
      </c>
      <c r="F100" t="s">
        <v>60</v>
      </c>
      <c r="G100">
        <v>30000</v>
      </c>
      <c r="H100">
        <v>20</v>
      </c>
      <c r="I100">
        <v>20</v>
      </c>
      <c r="J100">
        <v>0</v>
      </c>
      <c r="K100">
        <v>1</v>
      </c>
      <c r="L100">
        <v>20000000</v>
      </c>
      <c r="M100">
        <v>144</v>
      </c>
      <c r="N100">
        <v>144</v>
      </c>
      <c r="O100">
        <v>144</v>
      </c>
      <c r="P100">
        <v>0</v>
      </c>
      <c r="Q100" t="s">
        <v>61</v>
      </c>
      <c r="R100">
        <v>99990051306163</v>
      </c>
      <c r="S100">
        <v>10000052</v>
      </c>
      <c r="T100">
        <v>99990051306163</v>
      </c>
      <c r="U100">
        <v>10000052</v>
      </c>
      <c r="V100" t="s">
        <v>74</v>
      </c>
      <c r="W100">
        <v>57</v>
      </c>
      <c r="X100">
        <v>10000051</v>
      </c>
      <c r="Y100">
        <v>10000052</v>
      </c>
      <c r="Z100">
        <v>20000103</v>
      </c>
      <c r="AA100">
        <v>10000052</v>
      </c>
      <c r="AB100">
        <v>2</v>
      </c>
      <c r="AC100">
        <v>1</v>
      </c>
      <c r="AD100">
        <v>30.451699999999999</v>
      </c>
      <c r="AE100">
        <v>640003296</v>
      </c>
      <c r="AI100" t="s">
        <v>321</v>
      </c>
      <c r="AP100">
        <v>1065685658</v>
      </c>
      <c r="AQ100">
        <v>0</v>
      </c>
      <c r="AR100">
        <v>710440229</v>
      </c>
      <c r="AS100">
        <v>1065685658</v>
      </c>
      <c r="AT100">
        <v>1776125887</v>
      </c>
      <c r="AU100">
        <v>35522855</v>
      </c>
      <c r="AV100">
        <v>0</v>
      </c>
      <c r="AW100">
        <v>23681340</v>
      </c>
      <c r="AX100">
        <v>35522855</v>
      </c>
      <c r="AY100">
        <v>59204196</v>
      </c>
      <c r="AZ100">
        <v>28.6449</v>
      </c>
      <c r="BA100">
        <v>11.5471</v>
      </c>
      <c r="BB100">
        <v>6771.6</v>
      </c>
      <c r="BD100">
        <v>2351</v>
      </c>
      <c r="BE100">
        <v>454</v>
      </c>
      <c r="BF100" t="str">
        <f t="shared" si="2"/>
        <v>u=40%, k=2x10^7</v>
      </c>
      <c r="BG100">
        <f t="shared" si="3"/>
        <v>0</v>
      </c>
    </row>
    <row r="101" spans="1:59">
      <c r="A101" t="s">
        <v>322</v>
      </c>
      <c r="B101" t="s">
        <v>67</v>
      </c>
      <c r="D101" t="s">
        <v>64</v>
      </c>
      <c r="E101" t="s">
        <v>59</v>
      </c>
      <c r="F101" t="s">
        <v>60</v>
      </c>
      <c r="G101">
        <v>30000</v>
      </c>
      <c r="H101">
        <v>20</v>
      </c>
      <c r="I101">
        <v>20</v>
      </c>
      <c r="J101">
        <v>0</v>
      </c>
      <c r="K101">
        <v>1</v>
      </c>
      <c r="L101">
        <v>20000000</v>
      </c>
      <c r="M101">
        <v>190</v>
      </c>
      <c r="N101">
        <v>190</v>
      </c>
      <c r="O101">
        <v>190</v>
      </c>
      <c r="P101">
        <v>0</v>
      </c>
      <c r="Q101" t="s">
        <v>61</v>
      </c>
      <c r="R101">
        <v>100015612285669</v>
      </c>
      <c r="S101">
        <v>10000925</v>
      </c>
      <c r="T101">
        <v>100015612285669</v>
      </c>
      <c r="U101">
        <v>10000925</v>
      </c>
      <c r="V101" t="s">
        <v>74</v>
      </c>
      <c r="W101">
        <v>58</v>
      </c>
      <c r="X101">
        <v>10000924</v>
      </c>
      <c r="Y101">
        <v>10000925</v>
      </c>
      <c r="Z101">
        <v>20001849</v>
      </c>
      <c r="AA101">
        <v>10000925</v>
      </c>
      <c r="AB101">
        <v>2</v>
      </c>
      <c r="AC101">
        <v>1</v>
      </c>
      <c r="AD101">
        <v>30.432099999999998</v>
      </c>
      <c r="AE101">
        <v>640059168</v>
      </c>
      <c r="AI101" t="s">
        <v>323</v>
      </c>
      <c r="AP101">
        <v>1283171002</v>
      </c>
      <c r="AQ101">
        <v>0</v>
      </c>
      <c r="AR101">
        <v>855438082</v>
      </c>
      <c r="AS101">
        <v>1283171002</v>
      </c>
      <c r="AT101">
        <v>2138609084</v>
      </c>
      <c r="AU101">
        <v>42772366</v>
      </c>
      <c r="AV101">
        <v>0</v>
      </c>
      <c r="AW101">
        <v>28514602</v>
      </c>
      <c r="AX101">
        <v>42772366</v>
      </c>
      <c r="AY101">
        <v>71286969</v>
      </c>
      <c r="AZ101">
        <v>29.1526</v>
      </c>
      <c r="BA101">
        <v>12.085000000000001</v>
      </c>
      <c r="BB101">
        <v>7394.94</v>
      </c>
      <c r="BD101">
        <v>2322</v>
      </c>
      <c r="BE101">
        <v>454</v>
      </c>
      <c r="BF101" t="str">
        <f t="shared" si="2"/>
        <v>u=40%, k=2x10^7</v>
      </c>
      <c r="BG101">
        <f t="shared" si="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83</v>
      </c>
      <c r="B4" s="6" t="s">
        <v>18</v>
      </c>
      <c r="Z4" s="2"/>
    </row>
    <row r="5" spans="1:27">
      <c r="A5" s="6" t="s">
        <v>19</v>
      </c>
      <c r="B5" t="s">
        <v>67</v>
      </c>
      <c r="C5" t="s">
        <v>66</v>
      </c>
      <c r="D5" t="s">
        <v>65</v>
      </c>
      <c r="E5" t="s">
        <v>63</v>
      </c>
      <c r="Z5" s="2"/>
    </row>
    <row r="6" spans="1:27">
      <c r="A6" s="7">
        <v>24</v>
      </c>
      <c r="B6" s="8">
        <v>1733.5</v>
      </c>
      <c r="C6" s="8">
        <v>1801.5</v>
      </c>
      <c r="D6" s="8">
        <v>1508</v>
      </c>
      <c r="E6" s="8">
        <v>2444.5</v>
      </c>
      <c r="N6" s="2"/>
    </row>
    <row r="7" spans="1:27">
      <c r="A7" s="7">
        <v>48</v>
      </c>
      <c r="B7" s="8">
        <v>1772</v>
      </c>
      <c r="C7" s="8">
        <v>1829</v>
      </c>
      <c r="D7" s="8">
        <v>1607</v>
      </c>
      <c r="E7" s="8">
        <v>2489.5</v>
      </c>
    </row>
    <row r="8" spans="1:27">
      <c r="A8" s="7">
        <v>96</v>
      </c>
      <c r="B8" s="8">
        <v>2009</v>
      </c>
      <c r="C8" s="8">
        <v>1935.5</v>
      </c>
      <c r="D8" s="8">
        <v>1874</v>
      </c>
      <c r="E8" s="8">
        <v>2589.5</v>
      </c>
      <c r="N8" s="2"/>
    </row>
    <row r="9" spans="1:27">
      <c r="A9" s="7">
        <v>144</v>
      </c>
      <c r="B9" s="8">
        <v>2053</v>
      </c>
      <c r="C9" s="8">
        <v>2139</v>
      </c>
      <c r="D9" s="8">
        <v>1887</v>
      </c>
      <c r="E9" s="8">
        <v>2741</v>
      </c>
    </row>
    <row r="10" spans="1:27">
      <c r="A10" s="7">
        <v>190</v>
      </c>
      <c r="B10" s="8">
        <v>2046.5</v>
      </c>
      <c r="C10" s="8">
        <v>2198.5</v>
      </c>
      <c r="D10" s="8">
        <v>2004.5</v>
      </c>
      <c r="E10" s="8">
        <v>2847.5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1733.5</v>
      </c>
      <c r="C21" s="8">
        <f t="shared" si="1"/>
        <v>1801.5</v>
      </c>
      <c r="D21" s="8">
        <f t="shared" si="1"/>
        <v>1508</v>
      </c>
      <c r="E21" s="8">
        <f t="shared" si="1"/>
        <v>2444.5</v>
      </c>
      <c r="F21" s="8">
        <f t="shared" si="1"/>
        <v>0</v>
      </c>
    </row>
    <row r="22" spans="1:6">
      <c r="A22">
        <f t="shared" ref="A22:F25" si="2">A7</f>
        <v>48</v>
      </c>
      <c r="B22" s="8">
        <f t="shared" si="1"/>
        <v>1772</v>
      </c>
      <c r="C22" s="8">
        <f t="shared" si="1"/>
        <v>1829</v>
      </c>
      <c r="D22" s="8">
        <f t="shared" si="1"/>
        <v>1607</v>
      </c>
      <c r="E22" s="8">
        <f t="shared" si="1"/>
        <v>2489.5</v>
      </c>
      <c r="F22" s="8">
        <f t="shared" si="1"/>
        <v>0</v>
      </c>
    </row>
    <row r="23" spans="1:6">
      <c r="A23">
        <f t="shared" si="2"/>
        <v>96</v>
      </c>
      <c r="B23" s="8">
        <f t="shared" si="1"/>
        <v>2009</v>
      </c>
      <c r="C23" s="8">
        <f t="shared" si="1"/>
        <v>1935.5</v>
      </c>
      <c r="D23" s="8">
        <f t="shared" si="1"/>
        <v>1874</v>
      </c>
      <c r="E23" s="8">
        <f t="shared" si="1"/>
        <v>2589.5</v>
      </c>
      <c r="F23" s="8">
        <f t="shared" si="1"/>
        <v>0</v>
      </c>
    </row>
    <row r="24" spans="1:6">
      <c r="A24">
        <f t="shared" si="2"/>
        <v>144</v>
      </c>
      <c r="B24" s="8">
        <f t="shared" si="2"/>
        <v>2053</v>
      </c>
      <c r="C24" s="8">
        <f t="shared" si="2"/>
        <v>2139</v>
      </c>
      <c r="D24" s="8">
        <f t="shared" si="2"/>
        <v>1887</v>
      </c>
      <c r="E24" s="8">
        <f t="shared" si="2"/>
        <v>2741</v>
      </c>
      <c r="F24" s="8">
        <f t="shared" si="2"/>
        <v>0</v>
      </c>
    </row>
    <row r="25" spans="1:6">
      <c r="A25">
        <f t="shared" si="2"/>
        <v>190</v>
      </c>
      <c r="B25" s="8">
        <f t="shared" si="2"/>
        <v>2046.5</v>
      </c>
      <c r="C25" s="8">
        <f t="shared" si="2"/>
        <v>2198.5</v>
      </c>
      <c r="D25" s="8">
        <f t="shared" si="2"/>
        <v>2004.5</v>
      </c>
      <c r="E25" s="8">
        <f t="shared" si="2"/>
        <v>2847.5</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84</v>
      </c>
      <c r="B4" s="6" t="s">
        <v>18</v>
      </c>
      <c r="Z4" s="2"/>
    </row>
    <row r="5" spans="1:27">
      <c r="A5" s="6" t="s">
        <v>19</v>
      </c>
      <c r="B5" t="s">
        <v>67</v>
      </c>
      <c r="C5" t="s">
        <v>66</v>
      </c>
      <c r="D5" t="s">
        <v>65</v>
      </c>
      <c r="E5" t="s">
        <v>63</v>
      </c>
      <c r="Z5" s="2"/>
    </row>
    <row r="6" spans="1:27">
      <c r="A6" s="7">
        <v>24</v>
      </c>
      <c r="B6" s="8">
        <v>6216.9250000000002</v>
      </c>
      <c r="C6" s="8">
        <v>5072.59</v>
      </c>
      <c r="D6" s="8">
        <v>2396.0299999999997</v>
      </c>
      <c r="E6" s="8">
        <v>2606.105</v>
      </c>
      <c r="N6" s="2"/>
    </row>
    <row r="7" spans="1:27">
      <c r="A7" s="7">
        <v>48</v>
      </c>
      <c r="B7" s="8">
        <v>6464.0349999999999</v>
      </c>
      <c r="C7" s="8">
        <v>5413.5499999999993</v>
      </c>
      <c r="D7" s="8">
        <v>2687.08</v>
      </c>
      <c r="E7" s="8">
        <v>3135.4</v>
      </c>
    </row>
    <row r="8" spans="1:27">
      <c r="A8" s="7">
        <v>96</v>
      </c>
      <c r="B8" s="8">
        <v>5904.32</v>
      </c>
      <c r="C8" s="8">
        <v>5051.08</v>
      </c>
      <c r="D8" s="8">
        <v>2747.125</v>
      </c>
      <c r="E8" s="8">
        <v>3324.0650000000001</v>
      </c>
      <c r="N8" s="2"/>
    </row>
    <row r="9" spans="1:27">
      <c r="A9" s="7">
        <v>144</v>
      </c>
      <c r="B9" s="8">
        <v>6092.0450000000001</v>
      </c>
      <c r="C9" s="8">
        <v>5088.6049999999996</v>
      </c>
      <c r="D9" s="8">
        <v>3025.12</v>
      </c>
      <c r="E9" s="8">
        <v>3483.8149999999996</v>
      </c>
    </row>
    <row r="10" spans="1:27">
      <c r="A10" s="7">
        <v>190</v>
      </c>
      <c r="B10" s="8">
        <v>6380.28</v>
      </c>
      <c r="C10" s="8">
        <v>5154.3099999999995</v>
      </c>
      <c r="D10" s="8">
        <v>3314.125</v>
      </c>
      <c r="E10" s="8">
        <v>3710.1</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6216.9250000000002</v>
      </c>
      <c r="C21" s="8">
        <f t="shared" si="1"/>
        <v>5072.59</v>
      </c>
      <c r="D21" s="8">
        <f t="shared" si="1"/>
        <v>2396.0299999999997</v>
      </c>
      <c r="E21" s="8">
        <f t="shared" si="1"/>
        <v>2606.105</v>
      </c>
      <c r="F21" s="8">
        <f t="shared" si="1"/>
        <v>0</v>
      </c>
    </row>
    <row r="22" spans="1:6">
      <c r="A22">
        <f t="shared" ref="A22:F25" si="2">A7</f>
        <v>48</v>
      </c>
      <c r="B22" s="8">
        <f t="shared" si="1"/>
        <v>6464.0349999999999</v>
      </c>
      <c r="C22" s="8">
        <f t="shared" si="1"/>
        <v>5413.5499999999993</v>
      </c>
      <c r="D22" s="8">
        <f t="shared" si="1"/>
        <v>2687.08</v>
      </c>
      <c r="E22" s="8">
        <f t="shared" si="1"/>
        <v>3135.4</v>
      </c>
      <c r="F22" s="8">
        <f t="shared" si="1"/>
        <v>0</v>
      </c>
    </row>
    <row r="23" spans="1:6">
      <c r="A23">
        <f t="shared" si="2"/>
        <v>96</v>
      </c>
      <c r="B23" s="8">
        <f t="shared" si="1"/>
        <v>5904.32</v>
      </c>
      <c r="C23" s="8">
        <f t="shared" si="1"/>
        <v>5051.08</v>
      </c>
      <c r="D23" s="8">
        <f t="shared" si="1"/>
        <v>2747.125</v>
      </c>
      <c r="E23" s="8">
        <f t="shared" si="1"/>
        <v>3324.0650000000001</v>
      </c>
      <c r="F23" s="8">
        <f t="shared" si="1"/>
        <v>0</v>
      </c>
    </row>
    <row r="24" spans="1:6">
      <c r="A24">
        <f t="shared" si="2"/>
        <v>144</v>
      </c>
      <c r="B24" s="8">
        <f t="shared" si="2"/>
        <v>6092.0450000000001</v>
      </c>
      <c r="C24" s="8">
        <f t="shared" si="2"/>
        <v>5088.6049999999996</v>
      </c>
      <c r="D24" s="8">
        <f t="shared" si="2"/>
        <v>3025.12</v>
      </c>
      <c r="E24" s="8">
        <f t="shared" si="2"/>
        <v>3483.8149999999996</v>
      </c>
      <c r="F24" s="8">
        <f t="shared" si="2"/>
        <v>0</v>
      </c>
    </row>
    <row r="25" spans="1:6">
      <c r="A25">
        <f t="shared" si="2"/>
        <v>190</v>
      </c>
      <c r="B25" s="8">
        <f t="shared" si="2"/>
        <v>6380.28</v>
      </c>
      <c r="C25" s="8">
        <f t="shared" si="2"/>
        <v>5154.3099999999995</v>
      </c>
      <c r="D25" s="8">
        <f t="shared" si="2"/>
        <v>3314.125</v>
      </c>
      <c r="E25" s="8">
        <f t="shared" si="2"/>
        <v>3710.1</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83"/>
  <sheetViews>
    <sheetView tabSelected="1" zoomScale="80" zoomScaleNormal="80" workbookViewId="0"/>
  </sheetViews>
  <sheetFormatPr defaultRowHeight="14.6"/>
  <cols>
    <col min="1" max="1" width="7.53515625" customWidth="1"/>
    <col min="2" max="2" width="15.23046875" customWidth="1"/>
    <col min="3" max="3" width="19.84375" bestFit="1" customWidth="1"/>
    <col min="4" max="4" width="18.61328125" bestFit="1" customWidth="1"/>
    <col min="5" max="5" width="15" bestFit="1" customWidth="1"/>
    <col min="6" max="6" width="14.3046875" bestFit="1" customWidth="1"/>
    <col min="7" max="7" width="21.84375" bestFit="1" customWidth="1"/>
    <col min="8" max="8" width="15.84375" bestFit="1" customWidth="1"/>
    <col min="9" max="9" width="22.07421875" bestFit="1" customWidth="1"/>
    <col min="10" max="10" width="18.3828125" hidden="1" customWidth="1"/>
    <col min="11" max="11" width="21.23046875" hidden="1" customWidth="1"/>
    <col min="12" max="12" width="11.69140625" hidden="1" customWidth="1"/>
    <col min="13" max="24" width="0.4609375" customWidth="1"/>
    <col min="25" max="25" width="2.69140625" customWidth="1"/>
    <col min="26" max="26" width="16.15234375" customWidth="1"/>
    <col min="27" max="27" width="4.84375" customWidth="1"/>
    <col min="28" max="28" width="3" customWidth="1"/>
  </cols>
  <sheetData>
    <row r="1" spans="1:27">
      <c r="Z1" s="1" t="s">
        <v>8</v>
      </c>
    </row>
    <row r="2" spans="1:27">
      <c r="A2" s="6" t="s">
        <v>68</v>
      </c>
      <c r="B2" t="s">
        <v>324</v>
      </c>
      <c r="Z2" s="2" t="s">
        <v>0</v>
      </c>
      <c r="AA2" t="s">
        <v>69</v>
      </c>
    </row>
    <row r="3" spans="1:27">
      <c r="Z3" s="2"/>
    </row>
    <row r="4" spans="1:27">
      <c r="A4" s="6" t="s">
        <v>62</v>
      </c>
      <c r="B4" s="6" t="s">
        <v>18</v>
      </c>
      <c r="Z4" s="2"/>
    </row>
    <row r="5" spans="1:27">
      <c r="A5" s="6" t="s">
        <v>19</v>
      </c>
      <c r="B5" t="s">
        <v>67</v>
      </c>
      <c r="C5" t="s">
        <v>66</v>
      </c>
      <c r="D5" t="s">
        <v>65</v>
      </c>
      <c r="E5" t="s">
        <v>63</v>
      </c>
      <c r="F5" t="s">
        <v>108</v>
      </c>
      <c r="G5" t="s">
        <v>119</v>
      </c>
      <c r="H5" t="s">
        <v>153</v>
      </c>
      <c r="I5" t="s">
        <v>164</v>
      </c>
      <c r="Z5" s="2"/>
    </row>
    <row r="6" spans="1:27">
      <c r="A6" s="7">
        <v>24</v>
      </c>
      <c r="B6" s="8">
        <v>10378099</v>
      </c>
      <c r="C6" s="8">
        <v>12531452</v>
      </c>
      <c r="D6" s="8">
        <v>25694598</v>
      </c>
      <c r="E6" s="8">
        <v>20052070</v>
      </c>
      <c r="F6" s="8">
        <v>9281345</v>
      </c>
      <c r="G6" s="8">
        <v>9335106</v>
      </c>
      <c r="H6" s="8">
        <v>9007896</v>
      </c>
      <c r="I6" s="8">
        <v>9962259</v>
      </c>
      <c r="N6" s="2"/>
    </row>
    <row r="7" spans="1:27">
      <c r="A7" s="7">
        <v>48</v>
      </c>
      <c r="B7" s="8">
        <v>20026183</v>
      </c>
      <c r="C7" s="8">
        <v>23522678</v>
      </c>
      <c r="D7" s="8">
        <v>45456678</v>
      </c>
      <c r="E7" s="8">
        <v>32499901</v>
      </c>
      <c r="F7" s="8">
        <v>17500759</v>
      </c>
      <c r="G7" s="8">
        <v>17874654</v>
      </c>
      <c r="H7" s="8">
        <v>17188449</v>
      </c>
      <c r="I7" s="8">
        <v>19499937</v>
      </c>
    </row>
    <row r="8" spans="1:27">
      <c r="A8" s="7">
        <v>96</v>
      </c>
      <c r="B8" s="8">
        <v>42169262</v>
      </c>
      <c r="C8" s="8">
        <v>48889395</v>
      </c>
      <c r="D8" s="8">
        <v>82840938</v>
      </c>
      <c r="E8" s="8">
        <v>57033139</v>
      </c>
      <c r="F8" s="8">
        <v>33760193</v>
      </c>
      <c r="G8" s="8">
        <v>37634802</v>
      </c>
      <c r="H8" s="8">
        <v>33712455</v>
      </c>
      <c r="I8" s="8">
        <v>40581867</v>
      </c>
      <c r="N8" s="2"/>
    </row>
    <row r="9" spans="1:27">
      <c r="A9" s="7">
        <v>144</v>
      </c>
      <c r="B9" s="8">
        <v>59204196</v>
      </c>
      <c r="C9" s="8">
        <v>71777720</v>
      </c>
      <c r="D9" s="8">
        <v>107008372</v>
      </c>
      <c r="E9" s="8">
        <v>79871522</v>
      </c>
      <c r="F9" s="8">
        <v>45168790</v>
      </c>
      <c r="G9" s="8">
        <v>53379878</v>
      </c>
      <c r="H9" s="8">
        <v>45660488</v>
      </c>
      <c r="I9" s="8">
        <v>59944426</v>
      </c>
    </row>
    <row r="10" spans="1:27">
      <c r="A10" s="7">
        <v>190</v>
      </c>
      <c r="B10" s="8">
        <v>71286969</v>
      </c>
      <c r="C10" s="8">
        <v>92505014</v>
      </c>
      <c r="D10" s="8">
        <v>121533367</v>
      </c>
      <c r="E10" s="8">
        <v>96087265</v>
      </c>
      <c r="F10" s="8">
        <v>53529136</v>
      </c>
      <c r="G10" s="8">
        <v>65582836</v>
      </c>
      <c r="H10" s="8">
        <v>53291006</v>
      </c>
      <c r="I10" s="8">
        <v>77065576</v>
      </c>
    </row>
    <row r="13" spans="1:27">
      <c r="O13" s="3"/>
    </row>
    <row r="14" spans="1:27">
      <c r="Z14" s="2"/>
    </row>
    <row r="20" spans="1:9">
      <c r="B20" t="s">
        <v>94</v>
      </c>
      <c r="C20" t="s">
        <v>93</v>
      </c>
      <c r="D20" t="s">
        <v>95</v>
      </c>
      <c r="E20" t="s">
        <v>96</v>
      </c>
      <c r="F20" t="s">
        <v>327</v>
      </c>
      <c r="G20" t="s">
        <v>325</v>
      </c>
      <c r="H20" t="s">
        <v>326</v>
      </c>
      <c r="I20" t="s">
        <v>328</v>
      </c>
    </row>
    <row r="21" spans="1:9">
      <c r="A21">
        <f>A6</f>
        <v>24</v>
      </c>
      <c r="B21" s="8">
        <f t="shared" ref="B21:F21" si="0">B6</f>
        <v>10378099</v>
      </c>
      <c r="C21" s="8">
        <f t="shared" si="0"/>
        <v>12531452</v>
      </c>
      <c r="D21" s="8">
        <f t="shared" si="0"/>
        <v>25694598</v>
      </c>
      <c r="E21" s="8">
        <f t="shared" si="0"/>
        <v>20052070</v>
      </c>
      <c r="F21" s="8">
        <f t="shared" si="0"/>
        <v>9281345</v>
      </c>
      <c r="G21" s="8">
        <f t="shared" ref="G21:I21" si="1">G6</f>
        <v>9335106</v>
      </c>
      <c r="H21" s="8">
        <f t="shared" si="1"/>
        <v>9007896</v>
      </c>
      <c r="I21" s="8">
        <f t="shared" si="1"/>
        <v>9962259</v>
      </c>
    </row>
    <row r="22" spans="1:9">
      <c r="A22">
        <f t="shared" ref="A22:F25" si="2">A7</f>
        <v>48</v>
      </c>
      <c r="B22" s="8">
        <f t="shared" ref="B22:F22" si="3">B7</f>
        <v>20026183</v>
      </c>
      <c r="C22" s="8">
        <f t="shared" si="3"/>
        <v>23522678</v>
      </c>
      <c r="D22" s="8">
        <f t="shared" si="3"/>
        <v>45456678</v>
      </c>
      <c r="E22" s="8">
        <f t="shared" si="3"/>
        <v>32499901</v>
      </c>
      <c r="F22" s="8">
        <f t="shared" si="3"/>
        <v>17500759</v>
      </c>
      <c r="G22" s="8">
        <f t="shared" ref="G22:I22" si="4">G7</f>
        <v>17874654</v>
      </c>
      <c r="H22" s="8">
        <f t="shared" si="4"/>
        <v>17188449</v>
      </c>
      <c r="I22" s="8">
        <f t="shared" si="4"/>
        <v>19499937</v>
      </c>
    </row>
    <row r="23" spans="1:9">
      <c r="A23">
        <f t="shared" si="2"/>
        <v>96</v>
      </c>
      <c r="B23" s="8">
        <f t="shared" ref="B23:F23" si="5">B8</f>
        <v>42169262</v>
      </c>
      <c r="C23" s="8">
        <f t="shared" si="5"/>
        <v>48889395</v>
      </c>
      <c r="D23" s="8">
        <f t="shared" si="5"/>
        <v>82840938</v>
      </c>
      <c r="E23" s="8">
        <f t="shared" si="5"/>
        <v>57033139</v>
      </c>
      <c r="F23" s="8">
        <f t="shared" si="5"/>
        <v>33760193</v>
      </c>
      <c r="G23" s="8">
        <f t="shared" ref="G23:I23" si="6">G8</f>
        <v>37634802</v>
      </c>
      <c r="H23" s="8">
        <f t="shared" si="6"/>
        <v>33712455</v>
      </c>
      <c r="I23" s="8">
        <f t="shared" si="6"/>
        <v>40581867</v>
      </c>
    </row>
    <row r="24" spans="1:9">
      <c r="A24">
        <f t="shared" si="2"/>
        <v>144</v>
      </c>
      <c r="B24" s="8">
        <f t="shared" si="2"/>
        <v>59204196</v>
      </c>
      <c r="C24" s="8">
        <f t="shared" si="2"/>
        <v>71777720</v>
      </c>
      <c r="D24" s="8">
        <f t="shared" si="2"/>
        <v>107008372</v>
      </c>
      <c r="E24" s="8">
        <f t="shared" si="2"/>
        <v>79871522</v>
      </c>
      <c r="F24" s="8">
        <f t="shared" si="2"/>
        <v>45168790</v>
      </c>
      <c r="G24" s="8">
        <f t="shared" ref="G24:I24" si="7">G9</f>
        <v>53379878</v>
      </c>
      <c r="H24" s="8">
        <f t="shared" si="7"/>
        <v>45660488</v>
      </c>
      <c r="I24" s="8">
        <f t="shared" si="7"/>
        <v>59944426</v>
      </c>
    </row>
    <row r="25" spans="1:9">
      <c r="A25">
        <f t="shared" si="2"/>
        <v>190</v>
      </c>
      <c r="B25" s="8">
        <f t="shared" si="2"/>
        <v>71286969</v>
      </c>
      <c r="C25" s="8">
        <f t="shared" si="2"/>
        <v>92505014</v>
      </c>
      <c r="D25" s="8">
        <f t="shared" si="2"/>
        <v>121533367</v>
      </c>
      <c r="E25" s="8">
        <f t="shared" si="2"/>
        <v>96087265</v>
      </c>
      <c r="F25" s="8">
        <f t="shared" si="2"/>
        <v>53529136</v>
      </c>
      <c r="G25" s="8">
        <f t="shared" ref="G25:I25" si="8">G10</f>
        <v>65582836</v>
      </c>
      <c r="H25" s="8">
        <f t="shared" si="8"/>
        <v>53291006</v>
      </c>
      <c r="I25" s="8">
        <f t="shared" si="8"/>
        <v>77065576</v>
      </c>
    </row>
    <row r="36" spans="1:9">
      <c r="A36" s="6" t="s">
        <v>68</v>
      </c>
      <c r="B36" t="s">
        <v>324</v>
      </c>
    </row>
    <row r="38" spans="1:9">
      <c r="A38" s="6" t="s">
        <v>98</v>
      </c>
      <c r="B38" s="6" t="s">
        <v>18</v>
      </c>
    </row>
    <row r="39" spans="1:9">
      <c r="A39" s="6" t="s">
        <v>19</v>
      </c>
      <c r="B39" t="s">
        <v>67</v>
      </c>
      <c r="C39" t="s">
        <v>66</v>
      </c>
      <c r="D39" t="s">
        <v>65</v>
      </c>
      <c r="E39" t="s">
        <v>63</v>
      </c>
      <c r="F39" t="s">
        <v>108</v>
      </c>
      <c r="G39" t="s">
        <v>119</v>
      </c>
      <c r="H39" t="s">
        <v>153</v>
      </c>
      <c r="I39" t="s">
        <v>164</v>
      </c>
    </row>
    <row r="40" spans="1:9">
      <c r="A40" s="7">
        <v>24</v>
      </c>
      <c r="B40" s="8">
        <v>10378099</v>
      </c>
      <c r="C40" s="8">
        <v>12531452</v>
      </c>
      <c r="D40" s="8">
        <v>25694598</v>
      </c>
      <c r="E40" s="8">
        <v>20052070</v>
      </c>
      <c r="F40" s="8">
        <v>9281345</v>
      </c>
      <c r="G40" s="8">
        <v>9335106</v>
      </c>
      <c r="H40" s="8">
        <v>9007896</v>
      </c>
      <c r="I40" s="8">
        <v>9962259</v>
      </c>
    </row>
    <row r="41" spans="1:9">
      <c r="A41" s="7">
        <v>48</v>
      </c>
      <c r="B41" s="8">
        <v>20026183</v>
      </c>
      <c r="C41" s="8">
        <v>23522678</v>
      </c>
      <c r="D41" s="8">
        <v>45456678</v>
      </c>
      <c r="E41" s="8">
        <v>32499901</v>
      </c>
      <c r="F41" s="8">
        <v>17500759</v>
      </c>
      <c r="G41" s="8">
        <v>17874654</v>
      </c>
      <c r="H41" s="8">
        <v>17188449</v>
      </c>
      <c r="I41" s="8">
        <v>19499937</v>
      </c>
    </row>
    <row r="42" spans="1:9">
      <c r="A42" s="7">
        <v>96</v>
      </c>
      <c r="B42" s="8">
        <v>42169262</v>
      </c>
      <c r="C42" s="8">
        <v>48889395</v>
      </c>
      <c r="D42" s="8">
        <v>82840938</v>
      </c>
      <c r="E42" s="8">
        <v>57033139</v>
      </c>
      <c r="F42" s="8">
        <v>33760193</v>
      </c>
      <c r="G42" s="8">
        <v>37634802</v>
      </c>
      <c r="H42" s="8">
        <v>33712455</v>
      </c>
      <c r="I42" s="8">
        <v>40581867</v>
      </c>
    </row>
    <row r="43" spans="1:9">
      <c r="A43" s="7">
        <v>144</v>
      </c>
      <c r="B43" s="8">
        <v>59204196</v>
      </c>
      <c r="C43" s="8">
        <v>71777720</v>
      </c>
      <c r="D43" s="8">
        <v>107008372</v>
      </c>
      <c r="E43" s="8">
        <v>79871522</v>
      </c>
      <c r="F43" s="8">
        <v>45168790</v>
      </c>
      <c r="G43" s="8">
        <v>53379878</v>
      </c>
      <c r="H43" s="8">
        <v>45660488</v>
      </c>
      <c r="I43" s="8">
        <v>59944426</v>
      </c>
    </row>
    <row r="44" spans="1:9">
      <c r="A44" s="7">
        <v>190</v>
      </c>
      <c r="B44" s="8">
        <v>71286969</v>
      </c>
      <c r="C44" s="8">
        <v>92505014</v>
      </c>
      <c r="D44" s="8">
        <v>121533367</v>
      </c>
      <c r="E44" s="8">
        <v>96087265</v>
      </c>
      <c r="F44" s="8">
        <v>53529136</v>
      </c>
      <c r="G44" s="8">
        <v>65582836</v>
      </c>
      <c r="H44" s="8">
        <v>53291006</v>
      </c>
      <c r="I44" s="8">
        <v>77065576</v>
      </c>
    </row>
    <row r="50" spans="1:9">
      <c r="A50" t="str">
        <f>A39</f>
        <v>Row Labels</v>
      </c>
      <c r="B50" t="str">
        <f t="shared" ref="B50:E50" si="9">B39</f>
        <v>natarajan_ext_bst_lf</v>
      </c>
      <c r="C50" t="str">
        <f t="shared" si="9"/>
        <v>bronson_pext_bst_occ</v>
      </c>
      <c r="D50" t="str">
        <f t="shared" si="9"/>
        <v>brown_ext_abtree_lf</v>
      </c>
      <c r="E50" t="str">
        <f t="shared" si="9"/>
        <v>brown_ext_ist_lf</v>
      </c>
      <c r="F50" t="str">
        <f t="shared" ref="F50:I50" si="10">F39</f>
        <v>ellen_ext_bst_lf</v>
      </c>
      <c r="G50" t="str">
        <f t="shared" si="10"/>
        <v>guerraoui_ext_bst_ticket</v>
      </c>
      <c r="H50" t="str">
        <f t="shared" si="10"/>
        <v>brown_ext_bst_rq_lf</v>
      </c>
      <c r="I50" t="str">
        <f t="shared" si="10"/>
        <v>drachsler_pext_bst_lock</v>
      </c>
    </row>
    <row r="51" spans="1:9">
      <c r="A51">
        <f t="shared" ref="A51:A56" si="11">A40</f>
        <v>24</v>
      </c>
      <c r="B51" s="8">
        <f>B21-B40</f>
        <v>0</v>
      </c>
      <c r="C51" s="8">
        <f t="shared" ref="C51:E51" si="12">C21-C40</f>
        <v>0</v>
      </c>
      <c r="D51" s="8">
        <f t="shared" si="12"/>
        <v>0</v>
      </c>
      <c r="E51" s="8">
        <f t="shared" si="12"/>
        <v>0</v>
      </c>
      <c r="F51" s="8">
        <f t="shared" ref="F51:I51" si="13">F21-F40</f>
        <v>0</v>
      </c>
      <c r="G51" s="8">
        <f t="shared" si="13"/>
        <v>0</v>
      </c>
      <c r="H51" s="8">
        <f t="shared" si="13"/>
        <v>0</v>
      </c>
      <c r="I51" s="8">
        <f t="shared" si="13"/>
        <v>0</v>
      </c>
    </row>
    <row r="52" spans="1:9">
      <c r="A52">
        <f t="shared" si="11"/>
        <v>48</v>
      </c>
      <c r="B52" s="8">
        <f t="shared" ref="B52:E56" si="14">B22-B41</f>
        <v>0</v>
      </c>
      <c r="C52" s="8">
        <f t="shared" si="14"/>
        <v>0</v>
      </c>
      <c r="D52" s="8">
        <f t="shared" si="14"/>
        <v>0</v>
      </c>
      <c r="E52" s="8">
        <f t="shared" si="14"/>
        <v>0</v>
      </c>
      <c r="F52" s="8">
        <f t="shared" ref="F52:I52" si="15">F22-F41</f>
        <v>0</v>
      </c>
      <c r="G52" s="8">
        <f t="shared" si="15"/>
        <v>0</v>
      </c>
      <c r="H52" s="8">
        <f t="shared" si="15"/>
        <v>0</v>
      </c>
      <c r="I52" s="8">
        <f t="shared" si="15"/>
        <v>0</v>
      </c>
    </row>
    <row r="53" spans="1:9">
      <c r="A53">
        <f t="shared" si="11"/>
        <v>96</v>
      </c>
      <c r="B53" s="8">
        <f t="shared" si="14"/>
        <v>0</v>
      </c>
      <c r="C53" s="8">
        <f t="shared" si="14"/>
        <v>0</v>
      </c>
      <c r="D53" s="8">
        <f t="shared" si="14"/>
        <v>0</v>
      </c>
      <c r="E53" s="8">
        <f t="shared" si="14"/>
        <v>0</v>
      </c>
      <c r="F53" s="8">
        <f t="shared" ref="F53:I53" si="16">F23-F42</f>
        <v>0</v>
      </c>
      <c r="G53" s="8">
        <f t="shared" si="16"/>
        <v>0</v>
      </c>
      <c r="H53" s="8">
        <f t="shared" si="16"/>
        <v>0</v>
      </c>
      <c r="I53" s="8">
        <f t="shared" si="16"/>
        <v>0</v>
      </c>
    </row>
    <row r="54" spans="1:9">
      <c r="A54">
        <f t="shared" si="11"/>
        <v>144</v>
      </c>
      <c r="B54" s="8">
        <f t="shared" si="14"/>
        <v>0</v>
      </c>
      <c r="C54" s="8">
        <f t="shared" si="14"/>
        <v>0</v>
      </c>
      <c r="D54" s="8">
        <f t="shared" si="14"/>
        <v>0</v>
      </c>
      <c r="E54" s="8">
        <f t="shared" si="14"/>
        <v>0</v>
      </c>
      <c r="F54" s="8">
        <f t="shared" ref="F54:I54" si="17">F24-F43</f>
        <v>0</v>
      </c>
      <c r="G54" s="8">
        <f t="shared" si="17"/>
        <v>0</v>
      </c>
      <c r="H54" s="8">
        <f t="shared" si="17"/>
        <v>0</v>
      </c>
      <c r="I54" s="8">
        <f t="shared" si="17"/>
        <v>0</v>
      </c>
    </row>
    <row r="55" spans="1:9">
      <c r="A55">
        <f t="shared" si="11"/>
        <v>190</v>
      </c>
      <c r="B55" s="8">
        <f t="shared" si="14"/>
        <v>0</v>
      </c>
      <c r="C55" s="8">
        <f t="shared" si="14"/>
        <v>0</v>
      </c>
      <c r="D55" s="8">
        <f t="shared" si="14"/>
        <v>0</v>
      </c>
      <c r="E55" s="8">
        <f t="shared" si="14"/>
        <v>0</v>
      </c>
      <c r="F55" s="8">
        <f t="shared" ref="F55:I55" si="18">F25-F44</f>
        <v>0</v>
      </c>
      <c r="G55" s="8">
        <f t="shared" si="18"/>
        <v>0</v>
      </c>
      <c r="H55" s="8">
        <f t="shared" si="18"/>
        <v>0</v>
      </c>
      <c r="I55" s="8">
        <f t="shared" si="18"/>
        <v>0</v>
      </c>
    </row>
    <row r="56" spans="1:9">
      <c r="A56">
        <f t="shared" si="11"/>
        <v>0</v>
      </c>
      <c r="B56" s="8">
        <f t="shared" si="14"/>
        <v>0</v>
      </c>
      <c r="C56" s="8">
        <f t="shared" si="14"/>
        <v>0</v>
      </c>
      <c r="D56" s="8">
        <f t="shared" si="14"/>
        <v>0</v>
      </c>
      <c r="E56" s="8">
        <f t="shared" si="14"/>
        <v>0</v>
      </c>
      <c r="F56" s="8">
        <f t="shared" ref="F56:I56" si="19">F26-F45</f>
        <v>0</v>
      </c>
      <c r="G56" s="8">
        <f t="shared" si="19"/>
        <v>0</v>
      </c>
      <c r="H56" s="8">
        <f t="shared" si="19"/>
        <v>0</v>
      </c>
      <c r="I56" s="8">
        <f t="shared" si="19"/>
        <v>0</v>
      </c>
    </row>
    <row r="63" spans="1:9">
      <c r="A63" s="6" t="s">
        <v>68</v>
      </c>
      <c r="B63" t="s">
        <v>324</v>
      </c>
    </row>
    <row r="65" spans="1:9">
      <c r="A65" s="6" t="s">
        <v>99</v>
      </c>
      <c r="B65" s="6" t="s">
        <v>18</v>
      </c>
    </row>
    <row r="66" spans="1:9">
      <c r="A66" s="6" t="s">
        <v>19</v>
      </c>
      <c r="B66" t="s">
        <v>67</v>
      </c>
      <c r="C66" t="s">
        <v>66</v>
      </c>
      <c r="D66" t="s">
        <v>65</v>
      </c>
      <c r="E66" t="s">
        <v>63</v>
      </c>
      <c r="F66" t="s">
        <v>108</v>
      </c>
      <c r="G66" t="s">
        <v>119</v>
      </c>
      <c r="H66" t="s">
        <v>153</v>
      </c>
      <c r="I66" t="s">
        <v>164</v>
      </c>
    </row>
    <row r="67" spans="1:9">
      <c r="A67" s="7">
        <v>24</v>
      </c>
      <c r="B67" s="8">
        <v>10378099</v>
      </c>
      <c r="C67" s="8">
        <v>12531452</v>
      </c>
      <c r="D67" s="8">
        <v>25694598</v>
      </c>
      <c r="E67" s="8">
        <v>20052070</v>
      </c>
      <c r="F67" s="8">
        <v>9281345</v>
      </c>
      <c r="G67" s="8">
        <v>9335106</v>
      </c>
      <c r="H67" s="8">
        <v>9007896</v>
      </c>
      <c r="I67" s="8">
        <v>9962259</v>
      </c>
    </row>
    <row r="68" spans="1:9">
      <c r="A68" s="7">
        <v>48</v>
      </c>
      <c r="B68" s="8">
        <v>20026183</v>
      </c>
      <c r="C68" s="8">
        <v>23522678</v>
      </c>
      <c r="D68" s="8">
        <v>45456678</v>
      </c>
      <c r="E68" s="8">
        <v>32499901</v>
      </c>
      <c r="F68" s="8">
        <v>17500759</v>
      </c>
      <c r="G68" s="8">
        <v>17874654</v>
      </c>
      <c r="H68" s="8">
        <v>17188449</v>
      </c>
      <c r="I68" s="8">
        <v>19499937</v>
      </c>
    </row>
    <row r="69" spans="1:9">
      <c r="A69" s="7">
        <v>96</v>
      </c>
      <c r="B69" s="8">
        <v>42169262</v>
      </c>
      <c r="C69" s="8">
        <v>48889395</v>
      </c>
      <c r="D69" s="8">
        <v>82840938</v>
      </c>
      <c r="E69" s="8">
        <v>57033139</v>
      </c>
      <c r="F69" s="8">
        <v>33760193</v>
      </c>
      <c r="G69" s="8">
        <v>37634802</v>
      </c>
      <c r="H69" s="8">
        <v>33712455</v>
      </c>
      <c r="I69" s="8">
        <v>40581867</v>
      </c>
    </row>
    <row r="70" spans="1:9">
      <c r="A70" s="7">
        <v>144</v>
      </c>
      <c r="B70" s="8">
        <v>59204196</v>
      </c>
      <c r="C70" s="8">
        <v>71777720</v>
      </c>
      <c r="D70" s="8">
        <v>107008372</v>
      </c>
      <c r="E70" s="8">
        <v>79871522</v>
      </c>
      <c r="F70" s="8">
        <v>45168790</v>
      </c>
      <c r="G70" s="8">
        <v>53379878</v>
      </c>
      <c r="H70" s="8">
        <v>45660488</v>
      </c>
      <c r="I70" s="8">
        <v>59944426</v>
      </c>
    </row>
    <row r="71" spans="1:9">
      <c r="A71" s="7">
        <v>190</v>
      </c>
      <c r="B71" s="8">
        <v>71286969</v>
      </c>
      <c r="C71" s="8">
        <v>92505014</v>
      </c>
      <c r="D71" s="8">
        <v>121533367</v>
      </c>
      <c r="E71" s="8">
        <v>96087265</v>
      </c>
      <c r="F71" s="8">
        <v>53529136</v>
      </c>
      <c r="G71" s="8">
        <v>65582836</v>
      </c>
      <c r="H71" s="8">
        <v>53291006</v>
      </c>
      <c r="I71" s="8">
        <v>77065576</v>
      </c>
    </row>
    <row r="77" spans="1:9">
      <c r="A77" t="str">
        <f>A66</f>
        <v>Row Labels</v>
      </c>
      <c r="B77" t="str">
        <f t="shared" ref="B77:E77" si="20">B66</f>
        <v>natarajan_ext_bst_lf</v>
      </c>
      <c r="C77" t="str">
        <f t="shared" si="20"/>
        <v>bronson_pext_bst_occ</v>
      </c>
      <c r="D77" t="str">
        <f t="shared" si="20"/>
        <v>brown_ext_abtree_lf</v>
      </c>
      <c r="E77" t="str">
        <f t="shared" si="20"/>
        <v>brown_ext_ist_lf</v>
      </c>
      <c r="F77" t="str">
        <f t="shared" ref="F77:I77" si="21">F66</f>
        <v>ellen_ext_bst_lf</v>
      </c>
      <c r="G77" t="str">
        <f t="shared" si="21"/>
        <v>guerraoui_ext_bst_ticket</v>
      </c>
      <c r="H77" t="str">
        <f t="shared" si="21"/>
        <v>brown_ext_bst_rq_lf</v>
      </c>
      <c r="I77" t="str">
        <f t="shared" si="21"/>
        <v>drachsler_pext_bst_lock</v>
      </c>
    </row>
    <row r="78" spans="1:9">
      <c r="A78">
        <f t="shared" ref="A78:A83" si="22">A67</f>
        <v>24</v>
      </c>
      <c r="B78" s="8">
        <f t="shared" ref="B78:D81" si="23">B67-B21</f>
        <v>0</v>
      </c>
      <c r="C78" s="8">
        <f t="shared" si="23"/>
        <v>0</v>
      </c>
      <c r="D78" s="8">
        <f t="shared" si="23"/>
        <v>0</v>
      </c>
      <c r="E78" s="8">
        <f t="shared" ref="E78:I81" si="24">E67-E21</f>
        <v>0</v>
      </c>
      <c r="F78" s="8">
        <f t="shared" si="24"/>
        <v>0</v>
      </c>
      <c r="G78" s="8">
        <f t="shared" si="24"/>
        <v>0</v>
      </c>
      <c r="H78" s="8">
        <f t="shared" si="24"/>
        <v>0</v>
      </c>
      <c r="I78" s="8">
        <f t="shared" si="24"/>
        <v>0</v>
      </c>
    </row>
    <row r="79" spans="1:9">
      <c r="A79">
        <f t="shared" si="22"/>
        <v>48</v>
      </c>
      <c r="B79" s="8">
        <f t="shared" si="23"/>
        <v>0</v>
      </c>
      <c r="C79" s="8">
        <f t="shared" si="23"/>
        <v>0</v>
      </c>
      <c r="D79" s="8">
        <f t="shared" si="23"/>
        <v>0</v>
      </c>
      <c r="E79" s="8">
        <f t="shared" si="24"/>
        <v>0</v>
      </c>
      <c r="F79" s="8">
        <f t="shared" si="24"/>
        <v>0</v>
      </c>
      <c r="G79" s="8">
        <f t="shared" si="24"/>
        <v>0</v>
      </c>
      <c r="H79" s="8">
        <f t="shared" si="24"/>
        <v>0</v>
      </c>
      <c r="I79" s="8">
        <f t="shared" si="24"/>
        <v>0</v>
      </c>
    </row>
    <row r="80" spans="1:9">
      <c r="A80">
        <f t="shared" si="22"/>
        <v>96</v>
      </c>
      <c r="B80" s="8">
        <f t="shared" si="23"/>
        <v>0</v>
      </c>
      <c r="C80" s="8">
        <f t="shared" si="23"/>
        <v>0</v>
      </c>
      <c r="D80" s="8">
        <f t="shared" si="23"/>
        <v>0</v>
      </c>
      <c r="E80" s="8">
        <f t="shared" si="24"/>
        <v>0</v>
      </c>
      <c r="F80" s="8">
        <f t="shared" si="24"/>
        <v>0</v>
      </c>
      <c r="G80" s="8">
        <f t="shared" si="24"/>
        <v>0</v>
      </c>
      <c r="H80" s="8">
        <f t="shared" si="24"/>
        <v>0</v>
      </c>
      <c r="I80" s="8">
        <f t="shared" si="24"/>
        <v>0</v>
      </c>
    </row>
    <row r="81" spans="1:9">
      <c r="A81">
        <f t="shared" si="22"/>
        <v>144</v>
      </c>
      <c r="B81" s="8">
        <f t="shared" si="23"/>
        <v>0</v>
      </c>
      <c r="C81" s="8">
        <f t="shared" si="23"/>
        <v>0</v>
      </c>
      <c r="D81" s="8">
        <f t="shared" si="23"/>
        <v>0</v>
      </c>
      <c r="E81" s="8">
        <f t="shared" si="24"/>
        <v>0</v>
      </c>
      <c r="F81" s="8">
        <f t="shared" si="24"/>
        <v>0</v>
      </c>
      <c r="G81" s="8">
        <f t="shared" si="24"/>
        <v>0</v>
      </c>
      <c r="H81" s="8">
        <f t="shared" si="24"/>
        <v>0</v>
      </c>
      <c r="I81" s="8">
        <f t="shared" si="24"/>
        <v>0</v>
      </c>
    </row>
    <row r="82" spans="1:9">
      <c r="A82">
        <f>A71</f>
        <v>190</v>
      </c>
      <c r="B82" s="8">
        <f t="shared" ref="B82:D82" si="25">B71-B25</f>
        <v>0</v>
      </c>
      <c r="C82" s="8">
        <f t="shared" si="25"/>
        <v>0</v>
      </c>
      <c r="D82" s="8">
        <f t="shared" si="25"/>
        <v>0</v>
      </c>
      <c r="E82" s="8">
        <f>E71-E25</f>
        <v>0</v>
      </c>
      <c r="F82" s="8">
        <f t="shared" ref="F82:I82" si="26">F71-F25</f>
        <v>0</v>
      </c>
      <c r="G82" s="8">
        <f t="shared" si="26"/>
        <v>0</v>
      </c>
      <c r="H82" s="8">
        <f t="shared" si="26"/>
        <v>0</v>
      </c>
      <c r="I82" s="8">
        <f t="shared" si="26"/>
        <v>0</v>
      </c>
    </row>
    <row r="83" spans="1:9">
      <c r="A83">
        <f t="shared" si="22"/>
        <v>0</v>
      </c>
      <c r="B83" s="8">
        <f t="shared" ref="B83:D83" si="27">B72-B26</f>
        <v>0</v>
      </c>
      <c r="C83" s="8">
        <f t="shared" si="27"/>
        <v>0</v>
      </c>
      <c r="D83" s="8">
        <f t="shared" si="27"/>
        <v>0</v>
      </c>
      <c r="E83" s="8">
        <f>E72-E26</f>
        <v>0</v>
      </c>
      <c r="F83" s="8">
        <f t="shared" ref="F83:I83" si="28">F72-F26</f>
        <v>0</v>
      </c>
      <c r="G83" s="8">
        <f t="shared" si="28"/>
        <v>0</v>
      </c>
      <c r="H83" s="8">
        <f t="shared" si="28"/>
        <v>0</v>
      </c>
      <c r="I83" s="8">
        <f t="shared" si="28"/>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86</v>
      </c>
      <c r="B4" s="6" t="s">
        <v>18</v>
      </c>
      <c r="Z4" s="2"/>
    </row>
    <row r="5" spans="1:27">
      <c r="A5" s="6" t="s">
        <v>19</v>
      </c>
      <c r="B5" t="s">
        <v>67</v>
      </c>
      <c r="C5" t="s">
        <v>66</v>
      </c>
      <c r="D5" t="s">
        <v>65</v>
      </c>
      <c r="E5" t="s">
        <v>63</v>
      </c>
      <c r="Z5" s="2"/>
    </row>
    <row r="6" spans="1:27">
      <c r="A6" s="7">
        <v>24</v>
      </c>
      <c r="B6" s="8">
        <v>57</v>
      </c>
      <c r="C6" s="8">
        <v>29</v>
      </c>
      <c r="D6" s="8">
        <v>9</v>
      </c>
      <c r="E6" s="8">
        <v>7</v>
      </c>
      <c r="N6" s="2"/>
    </row>
    <row r="7" spans="1:27">
      <c r="A7" s="7">
        <v>48</v>
      </c>
      <c r="B7" s="8">
        <v>59.5</v>
      </c>
      <c r="C7" s="8">
        <v>29</v>
      </c>
      <c r="D7" s="8">
        <v>9</v>
      </c>
      <c r="E7" s="8">
        <v>7</v>
      </c>
    </row>
    <row r="8" spans="1:27">
      <c r="A8" s="7">
        <v>96</v>
      </c>
      <c r="B8" s="8">
        <v>59</v>
      </c>
      <c r="C8" s="8">
        <v>29</v>
      </c>
      <c r="D8" s="8">
        <v>9</v>
      </c>
      <c r="E8" s="8">
        <v>7</v>
      </c>
      <c r="N8" s="2"/>
    </row>
    <row r="9" spans="1:27">
      <c r="A9" s="7">
        <v>144</v>
      </c>
      <c r="B9" s="8">
        <v>58.5</v>
      </c>
      <c r="C9" s="8">
        <v>29</v>
      </c>
      <c r="D9" s="8">
        <v>9</v>
      </c>
      <c r="E9" s="8">
        <v>7</v>
      </c>
    </row>
    <row r="10" spans="1:27">
      <c r="A10" s="7">
        <v>190</v>
      </c>
      <c r="B10" s="8">
        <v>59.5</v>
      </c>
      <c r="C10" s="8">
        <v>29</v>
      </c>
      <c r="D10" s="8">
        <v>9</v>
      </c>
      <c r="E10" s="8">
        <v>7</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57</v>
      </c>
      <c r="C21" s="8">
        <f t="shared" si="1"/>
        <v>29</v>
      </c>
      <c r="D21" s="8">
        <f t="shared" si="1"/>
        <v>9</v>
      </c>
      <c r="E21" s="8">
        <f t="shared" si="1"/>
        <v>7</v>
      </c>
      <c r="F21" s="8">
        <f t="shared" si="1"/>
        <v>0</v>
      </c>
    </row>
    <row r="22" spans="1:6">
      <c r="A22">
        <f t="shared" ref="A22:F25" si="2">A7</f>
        <v>48</v>
      </c>
      <c r="B22" s="8">
        <f t="shared" si="1"/>
        <v>59.5</v>
      </c>
      <c r="C22" s="8">
        <f t="shared" si="1"/>
        <v>29</v>
      </c>
      <c r="D22" s="8">
        <f t="shared" si="1"/>
        <v>9</v>
      </c>
      <c r="E22" s="8">
        <f t="shared" si="1"/>
        <v>7</v>
      </c>
      <c r="F22" s="8">
        <f t="shared" si="1"/>
        <v>0</v>
      </c>
    </row>
    <row r="23" spans="1:6">
      <c r="A23">
        <f t="shared" si="2"/>
        <v>96</v>
      </c>
      <c r="B23" s="8">
        <f t="shared" si="1"/>
        <v>59</v>
      </c>
      <c r="C23" s="8">
        <f t="shared" si="1"/>
        <v>29</v>
      </c>
      <c r="D23" s="8">
        <f t="shared" si="1"/>
        <v>9</v>
      </c>
      <c r="E23" s="8">
        <f t="shared" si="1"/>
        <v>7</v>
      </c>
      <c r="F23" s="8">
        <f t="shared" si="1"/>
        <v>0</v>
      </c>
    </row>
    <row r="24" spans="1:6">
      <c r="A24">
        <f t="shared" si="2"/>
        <v>144</v>
      </c>
      <c r="B24" s="8">
        <f t="shared" si="2"/>
        <v>58.5</v>
      </c>
      <c r="C24" s="8">
        <f t="shared" si="2"/>
        <v>29</v>
      </c>
      <c r="D24" s="8">
        <f t="shared" si="2"/>
        <v>9</v>
      </c>
      <c r="E24" s="8">
        <f t="shared" si="2"/>
        <v>7</v>
      </c>
      <c r="F24" s="8">
        <f t="shared" si="2"/>
        <v>0</v>
      </c>
    </row>
    <row r="25" spans="1:6">
      <c r="A25">
        <f t="shared" si="2"/>
        <v>190</v>
      </c>
      <c r="B25" s="8">
        <f t="shared" si="2"/>
        <v>59.5</v>
      </c>
      <c r="C25" s="8">
        <f t="shared" si="2"/>
        <v>29</v>
      </c>
      <c r="D25" s="8">
        <f t="shared" si="2"/>
        <v>9</v>
      </c>
      <c r="E25" s="8">
        <f t="shared" si="2"/>
        <v>7</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87</v>
      </c>
      <c r="B4" s="6" t="s">
        <v>18</v>
      </c>
      <c r="Z4" s="2"/>
    </row>
    <row r="5" spans="1:27">
      <c r="A5" s="6" t="s">
        <v>19</v>
      </c>
      <c r="B5" t="s">
        <v>67</v>
      </c>
      <c r="C5" t="s">
        <v>66</v>
      </c>
      <c r="D5" t="s">
        <v>65</v>
      </c>
      <c r="E5" t="s">
        <v>63</v>
      </c>
      <c r="Z5" s="2"/>
    </row>
    <row r="6" spans="1:27">
      <c r="A6" s="7">
        <v>24</v>
      </c>
      <c r="B6" s="8">
        <v>1509</v>
      </c>
      <c r="C6" s="8">
        <v>1480</v>
      </c>
      <c r="D6" s="8">
        <v>837</v>
      </c>
      <c r="E6" s="8">
        <v>155.5</v>
      </c>
      <c r="N6" s="2"/>
    </row>
    <row r="7" spans="1:27">
      <c r="A7" s="7">
        <v>48</v>
      </c>
      <c r="B7" s="8">
        <v>1067</v>
      </c>
      <c r="C7" s="8">
        <v>1036</v>
      </c>
      <c r="D7" s="8">
        <v>758.5</v>
      </c>
      <c r="E7" s="8">
        <v>198</v>
      </c>
    </row>
    <row r="8" spans="1:27">
      <c r="A8" s="7">
        <v>96</v>
      </c>
      <c r="B8" s="8">
        <v>757.5</v>
      </c>
      <c r="C8" s="8">
        <v>765.5</v>
      </c>
      <c r="D8" s="8">
        <v>908</v>
      </c>
      <c r="E8" s="8">
        <v>235.5</v>
      </c>
      <c r="N8" s="2"/>
    </row>
    <row r="9" spans="1:27">
      <c r="A9" s="7">
        <v>144</v>
      </c>
      <c r="B9" s="8">
        <v>453</v>
      </c>
      <c r="C9" s="8">
        <v>467.5</v>
      </c>
      <c r="D9" s="8">
        <v>828</v>
      </c>
      <c r="E9" s="8">
        <v>414.5</v>
      </c>
    </row>
    <row r="10" spans="1:27">
      <c r="A10" s="7">
        <v>190</v>
      </c>
      <c r="B10" s="8">
        <v>459</v>
      </c>
      <c r="C10" s="8">
        <v>480</v>
      </c>
      <c r="D10" s="8">
        <v>938.5</v>
      </c>
      <c r="E10" s="8">
        <v>394</v>
      </c>
    </row>
    <row r="13" spans="1:27">
      <c r="B13" s="1" t="s">
        <v>88</v>
      </c>
      <c r="O13" s="3"/>
    </row>
    <row r="14" spans="1:27">
      <c r="B14" t="s">
        <v>89</v>
      </c>
      <c r="Z14" s="2"/>
    </row>
    <row r="15" spans="1:27">
      <c r="B15" s="1" t="s">
        <v>90</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1509</v>
      </c>
      <c r="C21" s="8">
        <f t="shared" si="1"/>
        <v>1480</v>
      </c>
      <c r="D21" s="8">
        <f t="shared" si="1"/>
        <v>837</v>
      </c>
      <c r="E21" s="8">
        <f t="shared" si="1"/>
        <v>155.5</v>
      </c>
      <c r="F21" s="8">
        <f t="shared" si="1"/>
        <v>0</v>
      </c>
    </row>
    <row r="22" spans="1:6">
      <c r="A22">
        <f t="shared" ref="A22:F25" si="2">A7</f>
        <v>48</v>
      </c>
      <c r="B22" s="8">
        <f t="shared" si="1"/>
        <v>1067</v>
      </c>
      <c r="C22" s="8">
        <f t="shared" si="1"/>
        <v>1036</v>
      </c>
      <c r="D22" s="8">
        <f t="shared" si="1"/>
        <v>758.5</v>
      </c>
      <c r="E22" s="8">
        <f t="shared" si="1"/>
        <v>198</v>
      </c>
      <c r="F22" s="8">
        <f t="shared" si="1"/>
        <v>0</v>
      </c>
    </row>
    <row r="23" spans="1:6">
      <c r="A23">
        <f t="shared" si="2"/>
        <v>96</v>
      </c>
      <c r="B23" s="8">
        <f t="shared" si="1"/>
        <v>757.5</v>
      </c>
      <c r="C23" s="8">
        <f t="shared" si="1"/>
        <v>765.5</v>
      </c>
      <c r="D23" s="8">
        <f t="shared" si="1"/>
        <v>908</v>
      </c>
      <c r="E23" s="8">
        <f t="shared" si="1"/>
        <v>235.5</v>
      </c>
      <c r="F23" s="8">
        <f t="shared" si="1"/>
        <v>0</v>
      </c>
    </row>
    <row r="24" spans="1:6">
      <c r="A24">
        <f t="shared" si="2"/>
        <v>144</v>
      </c>
      <c r="B24" s="8">
        <f t="shared" si="2"/>
        <v>453</v>
      </c>
      <c r="C24" s="8">
        <f t="shared" si="2"/>
        <v>467.5</v>
      </c>
      <c r="D24" s="8">
        <f t="shared" si="2"/>
        <v>828</v>
      </c>
      <c r="E24" s="8">
        <f t="shared" si="2"/>
        <v>414.5</v>
      </c>
      <c r="F24" s="8">
        <f t="shared" si="2"/>
        <v>0</v>
      </c>
    </row>
    <row r="25" spans="1:6">
      <c r="A25">
        <f t="shared" si="2"/>
        <v>190</v>
      </c>
      <c r="B25" s="8">
        <f t="shared" si="2"/>
        <v>459</v>
      </c>
      <c r="C25" s="8">
        <f t="shared" si="2"/>
        <v>480</v>
      </c>
      <c r="D25" s="8">
        <f t="shared" si="2"/>
        <v>938.5</v>
      </c>
      <c r="E25" s="8">
        <f t="shared" si="2"/>
        <v>394</v>
      </c>
      <c r="F25" s="8">
        <f t="shared" si="2"/>
        <v>0</v>
      </c>
    </row>
  </sheetData>
  <pageMargins left="0.7" right="0.7" top="0.75" bottom="0.75" header="0.3" footer="0.3"/>
  <pageSetup paperSize="0"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68</v>
      </c>
      <c r="B2" t="s">
        <v>97</v>
      </c>
      <c r="Z2" s="2" t="s">
        <v>0</v>
      </c>
      <c r="AA2" t="s">
        <v>69</v>
      </c>
    </row>
    <row r="3" spans="1:27">
      <c r="Z3" s="2"/>
    </row>
    <row r="4" spans="1:27">
      <c r="A4" s="6" t="s">
        <v>19</v>
      </c>
      <c r="B4" t="s">
        <v>84</v>
      </c>
      <c r="Z4" s="2"/>
    </row>
    <row r="5" spans="1:27">
      <c r="A5" s="7" t="s">
        <v>67</v>
      </c>
      <c r="B5" s="8">
        <v>6380.28</v>
      </c>
      <c r="Z5" s="2"/>
    </row>
    <row r="6" spans="1:27">
      <c r="A6" s="7" t="s">
        <v>66</v>
      </c>
      <c r="B6" s="8">
        <v>5154.3099999999995</v>
      </c>
      <c r="N6" s="2"/>
    </row>
    <row r="7" spans="1:27">
      <c r="A7" s="7" t="s">
        <v>65</v>
      </c>
      <c r="B7" s="8">
        <v>3314.125</v>
      </c>
    </row>
    <row r="8" spans="1:27">
      <c r="A8" s="7" t="s">
        <v>63</v>
      </c>
      <c r="B8" s="8">
        <v>3710.1</v>
      </c>
      <c r="N8" s="2"/>
    </row>
    <row r="13" spans="1:27">
      <c r="O13" s="3"/>
    </row>
    <row r="14" spans="1:27">
      <c r="Z14" s="2"/>
    </row>
    <row r="20" spans="1:6">
      <c r="A20" t="str">
        <f>A4</f>
        <v>Row Labels</v>
      </c>
      <c r="B20" t="s">
        <v>91</v>
      </c>
      <c r="C20" t="s">
        <v>92</v>
      </c>
      <c r="D20">
        <f t="shared" ref="D20:F20" si="0">D5</f>
        <v>0</v>
      </c>
      <c r="E20">
        <f t="shared" si="0"/>
        <v>0</v>
      </c>
      <c r="F20">
        <f t="shared" si="0"/>
        <v>0</v>
      </c>
    </row>
    <row r="21" spans="1:6">
      <c r="A21" t="s">
        <v>94</v>
      </c>
      <c r="B21" s="8">
        <f>B5-B45</f>
        <v>6380.28</v>
      </c>
      <c r="C21">
        <f t="shared" ref="C21:C24" si="1">B45</f>
        <v>0</v>
      </c>
      <c r="D21" s="8">
        <f t="shared" ref="D21:F23" si="2">D6</f>
        <v>0</v>
      </c>
      <c r="E21" s="8">
        <f t="shared" si="2"/>
        <v>0</v>
      </c>
      <c r="F21" s="8">
        <f t="shared" si="2"/>
        <v>0</v>
      </c>
    </row>
    <row r="22" spans="1:6">
      <c r="A22" t="s">
        <v>93</v>
      </c>
      <c r="B22" s="8">
        <f t="shared" ref="B22:B25" si="3">B6-B46</f>
        <v>5154.3099999999995</v>
      </c>
      <c r="C22">
        <f t="shared" si="1"/>
        <v>0</v>
      </c>
      <c r="D22" s="8">
        <f t="shared" si="2"/>
        <v>0</v>
      </c>
      <c r="E22" s="8">
        <f t="shared" si="2"/>
        <v>0</v>
      </c>
      <c r="F22" s="8">
        <f t="shared" si="2"/>
        <v>0</v>
      </c>
    </row>
    <row r="23" spans="1:6">
      <c r="A23" t="s">
        <v>95</v>
      </c>
      <c r="B23" s="8">
        <f t="shared" si="3"/>
        <v>3314.125</v>
      </c>
      <c r="C23">
        <f t="shared" si="1"/>
        <v>0</v>
      </c>
      <c r="D23" s="8">
        <f t="shared" si="2"/>
        <v>0</v>
      </c>
      <c r="E23" s="8">
        <f t="shared" si="2"/>
        <v>0</v>
      </c>
      <c r="F23" s="8">
        <f t="shared" si="2"/>
        <v>0</v>
      </c>
    </row>
    <row r="24" spans="1:6">
      <c r="A24" t="s">
        <v>96</v>
      </c>
      <c r="B24" s="8">
        <f t="shared" si="3"/>
        <v>3710.1</v>
      </c>
      <c r="C24">
        <f t="shared" si="1"/>
        <v>0</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33</v>
      </c>
      <c r="B41" s="7">
        <v>190</v>
      </c>
    </row>
    <row r="42" spans="1:2">
      <c r="A42" s="6" t="s">
        <v>68</v>
      </c>
      <c r="B42" t="s">
        <v>97</v>
      </c>
    </row>
    <row r="44" spans="1:2">
      <c r="A44" s="6" t="s">
        <v>19</v>
      </c>
      <c r="B44" t="s">
        <v>85</v>
      </c>
    </row>
    <row r="45" spans="1:2">
      <c r="A45" s="7" t="s">
        <v>67</v>
      </c>
      <c r="B45" s="8"/>
    </row>
    <row r="46" spans="1:2">
      <c r="A46" s="7" t="s">
        <v>66</v>
      </c>
      <c r="B46" s="8"/>
    </row>
    <row r="47" spans="1:2">
      <c r="A47" s="7" t="s">
        <v>65</v>
      </c>
      <c r="B47" s="8"/>
    </row>
    <row r="48" spans="1:2">
      <c r="A48" s="7" t="s">
        <v>63</v>
      </c>
      <c r="B48" s="8"/>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data</vt:lpstr>
      <vt:lpstr>maxresident (no)</vt:lpstr>
      <vt:lpstr>cycles (maybe no)</vt:lpstr>
      <vt:lpstr>throughput</vt:lpstr>
      <vt:lpstr>height (no)</vt:lpstr>
      <vt:lpstr>prefilling (no)</vt:lpstr>
      <vt:lpstr>cycle_breakdown (replaced)</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2019-08-06T22:16:03Z</dcterms:modified>
</cp:coreProperties>
</file>