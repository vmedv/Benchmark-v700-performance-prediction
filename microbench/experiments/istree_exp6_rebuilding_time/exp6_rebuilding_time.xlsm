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35brown\Documents\bitbucket\setbench\microbench\experiments\istree_exp6_rebuilding_time\"/>
    </mc:Choice>
  </mc:AlternateContent>
  <bookViews>
    <workbookView xWindow="0" yWindow="0" windowWidth="28054" windowHeight="11811" activeTab="3"/>
  </bookViews>
  <sheets>
    <sheet name="instructions" sheetId="3" r:id="rId1"/>
    <sheet name="data" sheetId="2" r:id="rId2"/>
    <sheet name="time_breakdown" sheetId="4" r:id="rId3"/>
    <sheet name="rebuild_counts" sheetId="5" r:id="rId4"/>
  </sheets>
  <functionGroups builtInGroupCount="18"/>
  <definedNames>
    <definedName name="_xlnm._FilterDatabase" localSheetId="1" hidden="1">data!$A$1:$BC$45</definedName>
    <definedName name="ExternalData_11" localSheetId="1">data!$A$1:$AP$1326</definedName>
    <definedName name="ExternalData_12" localSheetId="1">data!$A$1:$BB$27</definedName>
    <definedName name="ExternalData_13" localSheetId="1">data!$A$1:$BB$84</definedName>
    <definedName name="ExternalData_14" localSheetId="1">data!$A$1:$BB$6</definedName>
    <definedName name="ExternalData_15" localSheetId="1">data!$A$1:$BB$41</definedName>
  </definedNames>
  <calcPr calcId="162913"/>
  <pivotCaches>
    <pivotCache cacheId="306" r:id="rId5"/>
    <pivotCache cacheId="30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5" l="1"/>
  <c r="F25" i="5"/>
  <c r="E25" i="5"/>
  <c r="D25" i="5"/>
  <c r="C25" i="5"/>
  <c r="G24" i="5"/>
  <c r="F24" i="5"/>
  <c r="E24" i="5"/>
  <c r="D24" i="5"/>
  <c r="C24" i="5"/>
  <c r="G23" i="5"/>
  <c r="F23" i="5"/>
  <c r="E23" i="5"/>
  <c r="D23" i="5"/>
  <c r="G22" i="5"/>
  <c r="F22" i="5"/>
  <c r="E22" i="5"/>
  <c r="D22" i="5"/>
  <c r="C22" i="5"/>
  <c r="C23" i="5"/>
  <c r="B25" i="5"/>
  <c r="B24" i="5"/>
  <c r="B23" i="5"/>
  <c r="B22" i="5"/>
  <c r="G45" i="4" l="1"/>
  <c r="G46" i="4"/>
  <c r="G47" i="4"/>
  <c r="G48" i="4"/>
  <c r="G49" i="4"/>
  <c r="C2" i="4"/>
  <c r="BC7" i="2"/>
  <c r="BF7" i="2"/>
  <c r="BG7" i="2"/>
  <c r="BC8" i="2"/>
  <c r="BF8" i="2"/>
  <c r="BG8" i="2"/>
  <c r="BC9" i="2"/>
  <c r="BF9" i="2"/>
  <c r="BG9" i="2"/>
  <c r="BC10" i="2"/>
  <c r="BF10" i="2"/>
  <c r="BG10" i="2"/>
  <c r="BC11" i="2"/>
  <c r="BF11" i="2"/>
  <c r="BG11" i="2"/>
  <c r="BC12" i="2"/>
  <c r="BF12" i="2"/>
  <c r="BG12" i="2"/>
  <c r="BC13" i="2"/>
  <c r="BF13" i="2"/>
  <c r="BG13" i="2"/>
  <c r="BC14" i="2"/>
  <c r="BF14" i="2"/>
  <c r="BG14" i="2"/>
  <c r="BC15" i="2"/>
  <c r="BF15" i="2"/>
  <c r="BG15" i="2"/>
  <c r="BC16" i="2"/>
  <c r="BF16" i="2"/>
  <c r="BG16" i="2"/>
  <c r="BC17" i="2"/>
  <c r="BF17" i="2"/>
  <c r="BG17" i="2"/>
  <c r="BC18" i="2"/>
  <c r="BF18" i="2"/>
  <c r="BG18" i="2"/>
  <c r="BC19" i="2"/>
  <c r="BF19" i="2"/>
  <c r="BG19" i="2"/>
  <c r="BC20" i="2"/>
  <c r="BF20" i="2"/>
  <c r="BG20" i="2"/>
  <c r="BC21" i="2"/>
  <c r="BF21" i="2"/>
  <c r="BG21" i="2"/>
  <c r="BC22" i="2"/>
  <c r="BF22" i="2"/>
  <c r="BG22" i="2"/>
  <c r="BC23" i="2"/>
  <c r="BF23" i="2"/>
  <c r="BG23" i="2"/>
  <c r="BC24" i="2"/>
  <c r="BF24" i="2"/>
  <c r="BG24" i="2"/>
  <c r="BC25" i="2"/>
  <c r="BF25" i="2"/>
  <c r="BG25" i="2"/>
  <c r="BC26" i="2"/>
  <c r="BF26" i="2"/>
  <c r="BG26" i="2"/>
  <c r="BC27" i="2"/>
  <c r="BF27" i="2"/>
  <c r="BG27" i="2"/>
  <c r="BC28" i="2"/>
  <c r="BF28" i="2"/>
  <c r="BG28" i="2"/>
  <c r="BC29" i="2"/>
  <c r="BF29" i="2"/>
  <c r="BG29" i="2"/>
  <c r="BC30" i="2"/>
  <c r="BF30" i="2"/>
  <c r="BG30" i="2"/>
  <c r="BC31" i="2"/>
  <c r="BF31" i="2"/>
  <c r="BG31" i="2"/>
  <c r="BC32" i="2"/>
  <c r="BF32" i="2"/>
  <c r="BG32" i="2"/>
  <c r="BC33" i="2"/>
  <c r="BF33" i="2"/>
  <c r="BG33" i="2"/>
  <c r="BC34" i="2"/>
  <c r="BF34" i="2"/>
  <c r="BG34" i="2"/>
  <c r="BC35" i="2"/>
  <c r="BF35" i="2"/>
  <c r="BG35" i="2"/>
  <c r="BC36" i="2"/>
  <c r="BF36" i="2"/>
  <c r="BG36" i="2"/>
  <c r="BC37" i="2"/>
  <c r="BF37" i="2"/>
  <c r="BG37" i="2"/>
  <c r="BC38" i="2"/>
  <c r="BF38" i="2"/>
  <c r="BG38" i="2"/>
  <c r="BC39" i="2"/>
  <c r="BF39" i="2"/>
  <c r="BG39" i="2"/>
  <c r="BC40" i="2"/>
  <c r="BF40" i="2"/>
  <c r="BG40" i="2"/>
  <c r="BC41" i="2"/>
  <c r="BF41" i="2"/>
  <c r="BG41" i="2"/>
  <c r="C25" i="4"/>
  <c r="C27" i="4" s="1"/>
  <c r="A25" i="4"/>
  <c r="A24" i="4"/>
  <c r="A23" i="4"/>
  <c r="A22" i="4"/>
  <c r="A21" i="4"/>
  <c r="BG3" i="2"/>
  <c r="BG4" i="2"/>
  <c r="BG5" i="2"/>
  <c r="BG6" i="2"/>
  <c r="BG2" i="2"/>
  <c r="BF3" i="2"/>
  <c r="BF4" i="2"/>
  <c r="BF5" i="2"/>
  <c r="BF6" i="2"/>
  <c r="BF2" i="2"/>
  <c r="BE9" i="2"/>
  <c r="BD14" i="2"/>
  <c r="BE21" i="2"/>
  <c r="BD26" i="2"/>
  <c r="BE33" i="2"/>
  <c r="BD38" i="2"/>
  <c r="BD7" i="2"/>
  <c r="BE14" i="2"/>
  <c r="BD19" i="2"/>
  <c r="BE26" i="2"/>
  <c r="BD31" i="2"/>
  <c r="BE38" i="2"/>
  <c r="BD41" i="2"/>
  <c r="BE7" i="2"/>
  <c r="BD12" i="2"/>
  <c r="BE19" i="2"/>
  <c r="BD24" i="2"/>
  <c r="BD36" i="2"/>
  <c r="BE12" i="2"/>
  <c r="BD17" i="2"/>
  <c r="BE24" i="2"/>
  <c r="BD29" i="2"/>
  <c r="BD10" i="2"/>
  <c r="BE17" i="2"/>
  <c r="BD22" i="2"/>
  <c r="BE29" i="2"/>
  <c r="BD34" i="2"/>
  <c r="BE10" i="2"/>
  <c r="BD15" i="2"/>
  <c r="BE22" i="2"/>
  <c r="BD27" i="2"/>
  <c r="BE34" i="2"/>
  <c r="BD39" i="2"/>
  <c r="BD8" i="2"/>
  <c r="BE15" i="2"/>
  <c r="BD20" i="2"/>
  <c r="BE27" i="2"/>
  <c r="BD32" i="2"/>
  <c r="BE39" i="2"/>
  <c r="BE20" i="2"/>
  <c r="BD25" i="2"/>
  <c r="BD30" i="2"/>
  <c r="BE8" i="2"/>
  <c r="BD13" i="2"/>
  <c r="BE32" i="2"/>
  <c r="BD37" i="2"/>
  <c r="BE37" i="2"/>
  <c r="BE41" i="2"/>
  <c r="BE13" i="2"/>
  <c r="BD18" i="2"/>
  <c r="BE25" i="2"/>
  <c r="BD11" i="2"/>
  <c r="BE18" i="2"/>
  <c r="BD23" i="2"/>
  <c r="BE30" i="2"/>
  <c r="BD35" i="2"/>
  <c r="BE28" i="2"/>
  <c r="BE40" i="2"/>
  <c r="BE36" i="2"/>
  <c r="BE11" i="2"/>
  <c r="BD16" i="2"/>
  <c r="BE23" i="2"/>
  <c r="BD28" i="2"/>
  <c r="BE35" i="2"/>
  <c r="BD40" i="2"/>
  <c r="BD9" i="2"/>
  <c r="BE16" i="2"/>
  <c r="BD21" i="2"/>
  <c r="BD33" i="2"/>
  <c r="BE31" i="2"/>
  <c r="BE6" i="2"/>
  <c r="BE4" i="2"/>
  <c r="BE5" i="2"/>
  <c r="BE3" i="2"/>
  <c r="BD4" i="2"/>
  <c r="BD6" i="2"/>
  <c r="BD3" i="2"/>
  <c r="BD5" i="2"/>
  <c r="BH3" i="2"/>
  <c r="BI3" i="2"/>
  <c r="BI7" i="2"/>
  <c r="BI11" i="2"/>
  <c r="BI15" i="2"/>
  <c r="BI19" i="2"/>
  <c r="BI23" i="2"/>
  <c r="BI27" i="2"/>
  <c r="BI31" i="2"/>
  <c r="BI35" i="2"/>
  <c r="BI39" i="2"/>
  <c r="BJ3" i="2"/>
  <c r="BJ11" i="2"/>
  <c r="BJ15" i="2"/>
  <c r="BJ19" i="2"/>
  <c r="BJ23" i="2"/>
  <c r="BJ27" i="2"/>
  <c r="BJ31" i="2"/>
  <c r="BJ35" i="2"/>
  <c r="BJ39" i="2"/>
  <c r="BI24" i="2"/>
  <c r="BI40" i="2"/>
  <c r="BH25" i="2"/>
  <c r="BJ29" i="2"/>
  <c r="BH22" i="2"/>
  <c r="BI38" i="2"/>
  <c r="BJ22" i="2"/>
  <c r="BH15" i="2"/>
  <c r="BJ7" i="2"/>
  <c r="BH17" i="2"/>
  <c r="BJ37" i="2"/>
  <c r="BH18" i="2"/>
  <c r="BH38" i="2"/>
  <c r="BJ26" i="2"/>
  <c r="BH19" i="2"/>
  <c r="BH39" i="2"/>
  <c r="BH4" i="2"/>
  <c r="BH8" i="2"/>
  <c r="BH12" i="2"/>
  <c r="BH16" i="2"/>
  <c r="BH20" i="2"/>
  <c r="BH24" i="2"/>
  <c r="BH28" i="2"/>
  <c r="BH32" i="2"/>
  <c r="BH36" i="2"/>
  <c r="BH40" i="2"/>
  <c r="BI4" i="2"/>
  <c r="BI8" i="2"/>
  <c r="BI12" i="2"/>
  <c r="BI16" i="2"/>
  <c r="BI20" i="2"/>
  <c r="BI28" i="2"/>
  <c r="BI32" i="2"/>
  <c r="BI36" i="2"/>
  <c r="BH29" i="2"/>
  <c r="BH37" i="2"/>
  <c r="BJ25" i="2"/>
  <c r="BJ41" i="2"/>
  <c r="BH14" i="2"/>
  <c r="BH34" i="2"/>
  <c r="BJ18" i="2"/>
  <c r="BJ30" i="2"/>
  <c r="BH7" i="2"/>
  <c r="BH31" i="2"/>
  <c r="BJ4" i="2"/>
  <c r="BJ8" i="2"/>
  <c r="BJ12" i="2"/>
  <c r="BJ16" i="2"/>
  <c r="BJ20" i="2"/>
  <c r="BJ24" i="2"/>
  <c r="BJ28" i="2"/>
  <c r="BJ32" i="2"/>
  <c r="BJ36" i="2"/>
  <c r="BJ40" i="2"/>
  <c r="BH5" i="2"/>
  <c r="BH9" i="2"/>
  <c r="BH13" i="2"/>
  <c r="BH21" i="2"/>
  <c r="BH33" i="2"/>
  <c r="BH41" i="2"/>
  <c r="BJ21" i="2"/>
  <c r="BH10" i="2"/>
  <c r="BH26" i="2"/>
  <c r="BJ14" i="2"/>
  <c r="BJ38" i="2"/>
  <c r="BH23" i="2"/>
  <c r="BI5" i="2"/>
  <c r="BI9" i="2"/>
  <c r="BI13" i="2"/>
  <c r="BI17" i="2"/>
  <c r="BI21" i="2"/>
  <c r="BI25" i="2"/>
  <c r="BI29" i="2"/>
  <c r="BI33" i="2"/>
  <c r="BI37" i="2"/>
  <c r="BI41" i="2"/>
  <c r="BJ5" i="2"/>
  <c r="BJ9" i="2"/>
  <c r="BJ13" i="2"/>
  <c r="BJ17" i="2"/>
  <c r="BJ33" i="2"/>
  <c r="BH6" i="2"/>
  <c r="BH30" i="2"/>
  <c r="BJ10" i="2"/>
  <c r="BH11" i="2"/>
  <c r="BH35" i="2"/>
  <c r="BI6" i="2"/>
  <c r="BI10" i="2"/>
  <c r="BI14" i="2"/>
  <c r="BI18" i="2"/>
  <c r="BI22" i="2"/>
  <c r="BI26" i="2"/>
  <c r="BI30" i="2"/>
  <c r="BI34" i="2"/>
  <c r="BJ6" i="2"/>
  <c r="BJ34" i="2"/>
  <c r="BH27" i="2"/>
  <c r="BJ2" i="2"/>
  <c r="BI2" i="2"/>
  <c r="BH2" i="2"/>
  <c r="BE2" i="2"/>
  <c r="BD2" i="2"/>
  <c r="F25" i="4" l="1"/>
  <c r="E25" i="4"/>
  <c r="D25" i="4"/>
  <c r="B25" i="4"/>
  <c r="F24" i="4"/>
  <c r="E24" i="4"/>
  <c r="D24" i="4"/>
  <c r="C24" i="4"/>
  <c r="B24" i="4"/>
  <c r="F23" i="4"/>
  <c r="E23" i="4"/>
  <c r="D23" i="4"/>
  <c r="C23" i="4"/>
  <c r="B23" i="4"/>
  <c r="F22" i="4"/>
  <c r="E22" i="4"/>
  <c r="D22" i="4"/>
  <c r="C22" i="4"/>
  <c r="B22" i="4"/>
  <c r="F21" i="4"/>
  <c r="E21" i="4"/>
  <c r="D21" i="4"/>
  <c r="C21" i="4"/>
  <c r="B21" i="4"/>
  <c r="F20" i="4"/>
  <c r="E20" i="4"/>
  <c r="D20" i="4"/>
  <c r="A20" i="4"/>
  <c r="BC6" i="2" l="1"/>
  <c r="BC5" i="2"/>
  <c r="BC4" i="2"/>
  <c r="BC3" i="2"/>
  <c r="BC2" i="2"/>
</calcChain>
</file>

<file path=xl/connections.xml><?xml version="1.0" encoding="utf-8"?>
<connections xmlns="http://schemas.openxmlformats.org/spreadsheetml/2006/main">
  <connection id="1" name="Connection" type="6" refreshedVersion="6" background="1" saveData="1">
    <textPr sourceFile="C:\Users\t35brown\Documents\bitbucket\setbench\microbench\experiments\istree_exp3_disable_multicounter\disable_multicounter.csv" comma="1">
      <textFields>
        <textField/>
      </textFields>
    </textPr>
  </connection>
  <connection id="2" name="Connection1" type="6" refreshedVersion="6" background="1" saveData="1">
    <textPr sourceFile="C:\Users\t35brown\Documents\bitbucket\setbench\microbench\experiments\istree_exp5_numerical_stability_vs_time\istree_exp5_numerical_stability_vs_time.csv" comma="1">
      <textFields>
        <textField/>
      </textFields>
    </textPr>
  </connection>
  <connection id="3" name="Connection2" type="6" refreshedVersion="6" background="1" saveData="1">
    <textPr sourceFile="C:\Users\t35brown\Documents\bitbucket\setbench\microbench\experiments\istree_exp6_rebuilding_time\istree_exp6_rebuilding_time.csv" comma="1">
      <textFields>
        <textField/>
      </textFields>
    </textPr>
  </connection>
  <connection id="4" name="Connection3" type="6" refreshedVersion="6" background="1" saveData="1">
    <textPr sourceFile="C:\Users\t35brown\Documents\bitbucket\setbench\microbench\experiments\istree_exp6_rebuilding_time\istree_exp6_rebuilding_time.csv" comma="1">
      <textFields>
        <textField/>
      </textFields>
    </textPr>
  </connection>
  <connection id="5" name="Connection7" type="6" refreshedVersion="5" background="1" saveData="1">
    <textPr sourceFile="C:\Users\tbrown\Documents\bitbucket\setbench\microbench\experiments\tuwien\dat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<sst xmlns="http://schemas.openxmlformats.org/spreadsheetml/2006/main" count="470" uniqueCount="219">
  <si>
    <t>Pivot filter cell</t>
  </si>
  <si>
    <t>Steps</t>
  </si>
  <si>
    <t>Click "Next graph" to change the pivot filter field to its next value and update the graph</t>
  </si>
  <si>
    <t>Click "Export graph" to export a PNG image of the graph</t>
  </si>
  <si>
    <t>Click "Export all" to cycle through all values of the pivot filter and export a PNG image of each resulting graph</t>
  </si>
  <si>
    <t>Your pivot table should have a filter-by field for which each value represents a graph you'd like to generate.</t>
  </si>
  <si>
    <t>Go to sheet "pivot" and design a pivot table for your data.</t>
  </si>
  <si>
    <t>Then, repeat steps 2-4. (Step 1 will automatically process the data for all sheets whose names begin with "pivot".)</t>
  </si>
  <si>
    <t>Note: this must be column Z</t>
  </si>
  <si>
    <t>Some cell near the top of the pivot table should contain a pull-down menu to select the value for this filter.</t>
  </si>
  <si>
    <t>Write the name of the cell (e.g., "B1") containing this filter pull-down menu in cell AA2.</t>
  </si>
  <si>
    <t>Customize the graph to your liking. It is linked to the data in the pivot table.</t>
  </si>
  <si>
    <t>Click this button and select a CSV file to import:</t>
  </si>
  <si>
    <t>Row Labels</t>
  </si>
  <si>
    <t>filename</t>
  </si>
  <si>
    <t>DS_TYPENAME</t>
  </si>
  <si>
    <t>size_node</t>
  </si>
  <si>
    <t>RECLAIM</t>
  </si>
  <si>
    <t>ALLOC</t>
  </si>
  <si>
    <t>POOL</t>
  </si>
  <si>
    <t>MILLIS_TO_RUN</t>
  </si>
  <si>
    <t>INS</t>
  </si>
  <si>
    <t>DEL</t>
  </si>
  <si>
    <t>RQ</t>
  </si>
  <si>
    <t>RQSIZE</t>
  </si>
  <si>
    <t>MAXKEY</t>
  </si>
  <si>
    <t>PREFILL_THREADS</t>
  </si>
  <si>
    <t>TOTAL_THREADS</t>
  </si>
  <si>
    <t>WORK_THREADS</t>
  </si>
  <si>
    <t>RQ_THREADS</t>
  </si>
  <si>
    <t>INSERT_FUNC</t>
  </si>
  <si>
    <t>tree_stats_height</t>
  </si>
  <si>
    <t>tree_stats_numInternals</t>
  </si>
  <si>
    <t>tree_stats_numLeaves</t>
  </si>
  <si>
    <t>tree_stats_numNodes</t>
  </si>
  <si>
    <t>tree_stats_numKeys</t>
  </si>
  <si>
    <t>tree_stats_avgDegreeInternal</t>
  </si>
  <si>
    <t>tree_stats_avgDegreeLeaves</t>
  </si>
  <si>
    <t>tree_stats_avgDegree</t>
  </si>
  <si>
    <t>tree_stats_avgKeyDepth</t>
  </si>
  <si>
    <t>final_keysum</t>
  </si>
  <si>
    <t>total_find</t>
  </si>
  <si>
    <t>total_rq</t>
  </si>
  <si>
    <t>total_updates</t>
  </si>
  <si>
    <t>total_queries</t>
  </si>
  <si>
    <t>total_ops</t>
  </si>
  <si>
    <t>find_throughput</t>
  </si>
  <si>
    <t>rq_throughput</t>
  </si>
  <si>
    <t>update_throughput</t>
  </si>
  <si>
    <t>query_throughput</t>
  </si>
  <si>
    <t>total_throughput</t>
  </si>
  <si>
    <t>PAPI_L2_TCM</t>
  </si>
  <si>
    <t>PAPI_L3_TCM</t>
  </si>
  <si>
    <t>PAPI_TOT_CYC</t>
  </si>
  <si>
    <t>allocator_new</t>
  </si>
  <si>
    <t>pool_none</t>
  </si>
  <si>
    <t>insertIfAbsent</t>
  </si>
  <si>
    <t>brown_ext_ist_lf</t>
  </si>
  <si>
    <t>reclaimer_debra</t>
  </si>
  <si>
    <t>exp</t>
  </si>
  <si>
    <t>B2</t>
  </si>
  <si>
    <t>threads_final_keysum</t>
  </si>
  <si>
    <t>threads_final_size</t>
  </si>
  <si>
    <t>final_size</t>
  </si>
  <si>
    <t>validate_result</t>
  </si>
  <si>
    <t>success</t>
  </si>
  <si>
    <t>maxresident_mb</t>
  </si>
  <si>
    <t>prefill_elapsed_ms</t>
  </si>
  <si>
    <t>tree_stats_sizeInBytes</t>
  </si>
  <si>
    <t>sum_num_try_rebuild_at_depth_by_index</t>
  </si>
  <si>
    <t>sum_num_complete_rebuild_at_depth_by_index</t>
  </si>
  <si>
    <t>sum_num_help_subtree_total</t>
  </si>
  <si>
    <t>first_thread_announced_epoch_by_index</t>
  </si>
  <si>
    <t>sum_elapsed_rebuild_depth_total</t>
  </si>
  <si>
    <t>sum_elapsed_all_ops_total</t>
  </si>
  <si>
    <t>PAPI_RES_STL</t>
  </si>
  <si>
    <t>other</t>
  </si>
  <si>
    <t>istree_exp6_rebuilding_time/step10001.txt</t>
  </si>
  <si>
    <t>istree_exp6_rebuilding_time/step10002.txt</t>
  </si>
  <si>
    <t>istree_exp6_rebuilding_time/step10003.txt</t>
  </si>
  <si>
    <t>istree_exp6_rebuilding_time/step10004.txt</t>
  </si>
  <si>
    <t>istree_exp6_rebuilding_time/step10005.txt</t>
  </si>
  <si>
    <t>depth1_rebuild_count</t>
  </si>
  <si>
    <t>depth0_rebuild_count</t>
  </si>
  <si>
    <t>Average of depth0_rebuild_count</t>
  </si>
  <si>
    <t>total_time_sec_div_threads</t>
  </si>
  <si>
    <t>rebuild_time_sec_div_threads</t>
  </si>
  <si>
    <t>Average of total_time_sec_div_threads</t>
  </si>
  <si>
    <t>Average of rebuild_time_sec_div_threads</t>
  </si>
  <si>
    <t>rebuilding</t>
  </si>
  <si>
    <t>^^</t>
  </si>
  <si>
    <t>2113 938717 13491442 15112621</t>
  </si>
  <si>
    <t>1043 935319 13487792 15112304</t>
  </si>
  <si>
    <t>4020 1476143 14005868 20319023</t>
  </si>
  <si>
    <t>1494 1473088 13994936 20318097</t>
  </si>
  <si>
    <t>4988 2872030 4980271 21133225</t>
  </si>
  <si>
    <t>1829 2845126 4964456 21131072</t>
  </si>
  <si>
    <t>5812 5903625 1063265 16436672</t>
  </si>
  <si>
    <t>2023 5853914 1055646 16434073</t>
  </si>
  <si>
    <t>7134 5463461 2656701 21788752</t>
  </si>
  <si>
    <t>2324 5404540 2637671 21784773</t>
  </si>
  <si>
    <t>istree_exp6_rebuilding_time/step10006.txt</t>
  </si>
  <si>
    <t>5 25429 1988760 16865216 2766257</t>
  </si>
  <si>
    <t>4 25391 1988748 16865199 2766256</t>
  </si>
  <si>
    <t>istree_exp6_rebuilding_time/step10007.txt</t>
  </si>
  <si>
    <t>7 51684 2824027 26459564 4464416</t>
  </si>
  <si>
    <t>6 51614 2823977 26459530 4464416</t>
  </si>
  <si>
    <t>istree_exp6_rebuilding_time/step10008.txt</t>
  </si>
  <si>
    <t>29 109131 4578753 47525399 7997192</t>
  </si>
  <si>
    <t>11 109078 4578557 47525249 7997186</t>
  </si>
  <si>
    <t>istree_exp6_rebuilding_time/step10009.txt</t>
  </si>
  <si>
    <t>54 159960 5599380 62909924 10843658</t>
  </si>
  <si>
    <t>16 159948 5598994 62909591 10843628</t>
  </si>
  <si>
    <t>istree_exp6_rebuilding_time/step10010.txt</t>
  </si>
  <si>
    <t>71 199961 6887505 77737892 13321146</t>
  </si>
  <si>
    <t>20 199946 6886828 77737377 13321110</t>
  </si>
  <si>
    <t>istree_exp6_rebuilding_time/step10011.txt</t>
  </si>
  <si>
    <t>49 42227 611405 688629</t>
  </si>
  <si>
    <t>47 42222 611396 688629</t>
  </si>
  <si>
    <t>istree_exp6_rebuilding_time/step10012.txt</t>
  </si>
  <si>
    <t>77 72872 693563 1004938</t>
  </si>
  <si>
    <t>73 72864 693535 1004934</t>
  </si>
  <si>
    <t>istree_exp6_rebuilding_time/step10013.txt</t>
  </si>
  <si>
    <t>150 219892 380303 1619665</t>
  </si>
  <si>
    <t>140 219724 380211 1619653</t>
  </si>
  <si>
    <t>istree_exp6_rebuilding_time/step10014.txt</t>
  </si>
  <si>
    <t>220 596768 107413 1661767</t>
  </si>
  <si>
    <t>204 596357 107340 1661746</t>
  </si>
  <si>
    <t>istree_exp6_rebuilding_time/step10015.txt</t>
  </si>
  <si>
    <t>289 609880 295141 2435452</t>
  </si>
  <si>
    <t>259 609329 294930 2435413</t>
  </si>
  <si>
    <t>istree_exp6_rebuilding_time/step10016.txt</t>
  </si>
  <si>
    <t>0 0 0 108502 68032</t>
  </si>
  <si>
    <t>istree_exp6_rebuilding_time/step10017.txt</t>
  </si>
  <si>
    <t>0 0 1 449958 166795</t>
  </si>
  <si>
    <t>istree_exp6_rebuilding_time/step10018.txt</t>
  </si>
  <si>
    <t>0 0 15608 2057392 426041</t>
  </si>
  <si>
    <t>istree_exp6_rebuilding_time/step10019.txt</t>
  </si>
  <si>
    <t>0 2400 307744 3767151 631191</t>
  </si>
  <si>
    <t>0 2400 307741 3767150 631191</t>
  </si>
  <si>
    <t>istree_exp6_rebuilding_time/step10020.txt</t>
  </si>
  <si>
    <t>1 10000 344301 3953670 715593</t>
  </si>
  <si>
    <t>1 10000 344299 3953667 715593</t>
  </si>
  <si>
    <t>istree_exp6_rebuilding_time/step10021.txt</t>
  </si>
  <si>
    <t>2081 943366 13556988 15182461</t>
  </si>
  <si>
    <t>1049 939842 13553404 15182139</t>
  </si>
  <si>
    <t>istree_exp6_rebuilding_time/step10022.txt</t>
  </si>
  <si>
    <t>3980 1471280 13957995 20260487</t>
  </si>
  <si>
    <t>1489 1468141 13947056 20259533</t>
  </si>
  <si>
    <t>istree_exp6_rebuilding_time/step10023.txt</t>
  </si>
  <si>
    <t>5147 2878392 4989830 21174278</t>
  </si>
  <si>
    <t>1833 2851068 4973996 21172192</t>
  </si>
  <si>
    <t>istree_exp6_rebuilding_time/step10024.txt</t>
  </si>
  <si>
    <t>5902 5918036 1065468 16459221</t>
  </si>
  <si>
    <t>2027 5868252 1057664 16456629</t>
  </si>
  <si>
    <t>istree_exp6_rebuilding_time/step10025.txt</t>
  </si>
  <si>
    <t>7039 5465689 2660035 21790836</t>
  </si>
  <si>
    <t>2325 5406915 2640738 21786755</t>
  </si>
  <si>
    <t>istree_exp6_rebuilding_time/step10026.txt</t>
  </si>
  <si>
    <t>4 25494 1988705 16866571 2766165</t>
  </si>
  <si>
    <t>4 25460 1988685 16866562 2766165</t>
  </si>
  <si>
    <t>istree_exp6_rebuilding_time/step10027.txt</t>
  </si>
  <si>
    <t>11 51696 2820641 26328206 4447989</t>
  </si>
  <si>
    <t>6 51614 2820589 26328165 4447986</t>
  </si>
  <si>
    <t>istree_exp6_rebuilding_time/step10028.txt</t>
  </si>
  <si>
    <t>34 109108 4598296 47592535 8004255</t>
  </si>
  <si>
    <t>11 109045 4598084 47592395 8004243</t>
  </si>
  <si>
    <t>istree_exp6_rebuilding_time/step10029.txt</t>
  </si>
  <si>
    <t>54 159965 5546275 63402721 10953986</t>
  </si>
  <si>
    <t>16 159951 5545869 63402417 10953965</t>
  </si>
  <si>
    <t>istree_exp6_rebuilding_time/step10030.txt</t>
  </si>
  <si>
    <t>77 199970 6884207 77736796 13311064</t>
  </si>
  <si>
    <t>20 199953 6883558 77736277 13311033</t>
  </si>
  <si>
    <t>istree_exp6_rebuilding_time/step10031.txt</t>
  </si>
  <si>
    <t>49 42242 610604 688313</t>
  </si>
  <si>
    <t>47 42238 610600 688313</t>
  </si>
  <si>
    <t>istree_exp6_rebuilding_time/step10032.txt</t>
  </si>
  <si>
    <t>78 72113 688373 1003207</t>
  </si>
  <si>
    <t>73 72106 688343 1003201</t>
  </si>
  <si>
    <t>istree_exp6_rebuilding_time/step10033.txt</t>
  </si>
  <si>
    <t>155 221404 382659 1628125</t>
  </si>
  <si>
    <t>141 221207 382557 1628117</t>
  </si>
  <si>
    <t>istree_exp6_rebuilding_time/step10034.txt</t>
  </si>
  <si>
    <t>225 592715 106764 1652020</t>
  </si>
  <si>
    <t>203 592290 106709 1651996</t>
  </si>
  <si>
    <t>istree_exp6_rebuilding_time/step10035.txt</t>
  </si>
  <si>
    <t>296 614265 299145 2454456</t>
  </si>
  <si>
    <t>261 613685 298933 2454412</t>
  </si>
  <si>
    <t>istree_exp6_rebuilding_time/step10036.txt</t>
  </si>
  <si>
    <t>0 0 0 109343 68422</t>
  </si>
  <si>
    <t>istree_exp6_rebuilding_time/step10037.txt</t>
  </si>
  <si>
    <t>0 0 1 453142 168362</t>
  </si>
  <si>
    <t>istree_exp6_rebuilding_time/step10038.txt</t>
  </si>
  <si>
    <t>0 0 15984 2058323 425988</t>
  </si>
  <si>
    <t>istree_exp6_rebuilding_time/step10039.txt</t>
  </si>
  <si>
    <t>0 2503 308420 3765202 628857</t>
  </si>
  <si>
    <t>istree_exp6_rebuilding_time/step10040.txt</t>
  </si>
  <si>
    <t>1 9998 344914 3955498 716659</t>
  </si>
  <si>
    <t>1 9998 344910 3955497 716659</t>
  </si>
  <si>
    <t>u=1%, k=2x10^8</t>
  </si>
  <si>
    <t>If you need more types of graphs, duplicate the "pivot" sheet, and preferably start the name of the new sheet with "pivot" (e.g., "pivot_throughput" or "pivot_cache_misses").</t>
  </si>
  <si>
    <t>(5)</t>
  </si>
  <si>
    <t>u=40%, k=2x10^8</t>
  </si>
  <si>
    <t>depth2_rebuild_count</t>
  </si>
  <si>
    <t>depth3_rebuild_count</t>
  </si>
  <si>
    <t>depth4_rebuild_count</t>
  </si>
  <si>
    <t>u=1%, k=2x10^6</t>
  </si>
  <si>
    <t>u=40%, k=2x10^6</t>
  </si>
  <si>
    <t>Average of depth1_rebuild_count</t>
  </si>
  <si>
    <t>Average of depth2_rebuild_count</t>
  </si>
  <si>
    <t>Average of depth3_rebuild_count</t>
  </si>
  <si>
    <t>Average of depth4_rebuild_count</t>
  </si>
  <si>
    <t>Workload</t>
  </si>
  <si>
    <t xml:space="preserve">d=0 </t>
  </si>
  <si>
    <t xml:space="preserve">d=1 </t>
  </si>
  <si>
    <t xml:space="preserve">d=2 </t>
  </si>
  <si>
    <t xml:space="preserve">d=3 </t>
  </si>
  <si>
    <t xml:space="preserve">d=4 </t>
  </si>
  <si>
    <t>Number of times a subtree is rebuilt at depth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</si>
</sst>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6" formatCode="_-* #,##0_-;\-* #,##0_-;_-* &quot;-&quot;??_-;_-@_-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pivotButton="1"/>
    <xf numFmtId="9" fontId="1" fillId="0" borderId="0" xfId="1" applyFont="1"/>
    <xf numFmtId="0" fontId="1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0" fillId="0" borderId="0" xfId="0" applyNumberFormat="1"/>
    <xf numFmtId="166" fontId="0" fillId="0" borderId="0" xfId="2" applyNumberFormat="1" applyFont="1"/>
    <xf numFmtId="166" fontId="6" fillId="5" borderId="0" xfId="2" applyNumberFormat="1" applyFont="1" applyFill="1" applyBorder="1"/>
    <xf numFmtId="0" fontId="0" fillId="5" borderId="0" xfId="0" applyFill="1"/>
    <xf numFmtId="166" fontId="0" fillId="5" borderId="0" xfId="2" applyNumberFormat="1" applyFont="1" applyFill="1"/>
    <xf numFmtId="166" fontId="6" fillId="5" borderId="1" xfId="2" applyNumberFormat="1" applyFont="1" applyFill="1" applyBorder="1"/>
    <xf numFmtId="166" fontId="6" fillId="5" borderId="2" xfId="2" applyNumberFormat="1" applyFont="1" applyFill="1" applyBorder="1"/>
    <xf numFmtId="0" fontId="7" fillId="3" borderId="4" xfId="0" applyFont="1" applyFill="1" applyBorder="1"/>
    <xf numFmtId="0" fontId="6" fillId="4" borderId="3" xfId="0" applyFont="1" applyFill="1" applyBorder="1" applyAlignment="1">
      <alignment horizontal="right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0" fillId="2" borderId="8" xfId="0" applyFill="1" applyBorder="1"/>
    <xf numFmtId="0" fontId="6" fillId="4" borderId="9" xfId="0" applyFont="1" applyFill="1" applyBorder="1" applyAlignment="1">
      <alignment horizontal="right"/>
    </xf>
    <xf numFmtId="0" fontId="6" fillId="4" borderId="10" xfId="0" applyFont="1" applyFill="1" applyBorder="1"/>
    <xf numFmtId="166" fontId="6" fillId="5" borderId="11" xfId="2" applyNumberFormat="1" applyFont="1" applyFill="1" applyBorder="1"/>
    <xf numFmtId="166" fontId="6" fillId="5" borderId="12" xfId="2" applyNumberFormat="1" applyFont="1" applyFill="1" applyBorder="1"/>
    <xf numFmtId="0" fontId="6" fillId="4" borderId="13" xfId="0" applyFont="1" applyFill="1" applyBorder="1"/>
    <xf numFmtId="166" fontId="6" fillId="5" borderId="14" xfId="2" applyNumberFormat="1" applyFont="1" applyFill="1" applyBorder="1"/>
    <xf numFmtId="166" fontId="6" fillId="5" borderId="15" xfId="2" applyNumberFormat="1" applyFont="1" applyFill="1" applyBorder="1"/>
    <xf numFmtId="166" fontId="6" fillId="5" borderId="16" xfId="2" applyNumberFormat="1" applyFont="1" applyFill="1" applyBorder="1"/>
  </cellXfs>
  <cellStyles count="3">
    <cellStyle name="Comma" xfId="2" builtinId="3"/>
    <cellStyle name="Normal" xfId="0" builtinId="0"/>
    <cellStyle name="Percent" xfId="1" builtinId="5"/>
  </cellStyles>
  <dxfs count="12"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  <dxf>
      <numFmt numFmtId="1" formatCode="0"/>
    </dxf>
    <dxf>
      <numFmt numFmtId="164" formatCode="0.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00"/>
      <color rgb="FFFFFFFF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time_breakdown!$C$2</c:f>
          <c:strCache>
            <c:ptCount val="1"/>
            <c:pt idx="0">
              <c:v>u=40%, k=2x10^6, f=# full rebuilds</c:v>
            </c:pt>
          </c:strCache>
        </c:strRef>
      </c:tx>
      <c:layout>
        <c:manualLayout>
          <c:xMode val="edge"/>
          <c:yMode val="edge"/>
          <c:x val="0.19374203595892173"/>
          <c:y val="8.5979237165127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453588836391409"/>
          <c:y val="0.11066827666737437"/>
          <c:w val="0.78000226449099919"/>
          <c:h val="0.6522956320922715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time_breakdown!$B$20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9115246C-8DB4-430F-8249-9A27893CAFE7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16D-4C90-87C4-3EF5C7D59E54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8DA98F48-6BD9-455C-B679-1AD90763DD61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6D-4C90-87C4-3EF5C7D59E54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48C47C95-ECA9-4BE5-B803-92BABA7A3E8B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6D-4C90-87C4-3EF5C7D59E54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E21EF5D2-BCF3-4054-B506-F0D010267002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6D-4C90-87C4-3EF5C7D59E54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8DB90EF2-410D-49CC-B55C-8C9FBB3842AF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6D-4C90-87C4-3EF5C7D59E54}"/>
                </c:ext>
              </c:extLst>
            </c:dLbl>
            <c:spPr>
              <a:solidFill>
                <a:sysClr val="window" lastClr="2D3640"/>
              </a:solidFill>
              <a:ln>
                <a:solidFill>
                  <a:sysClr val="windowText" lastClr="849DB8">
                    <a:lumMod val="25000"/>
                    <a:lumOff val="75000"/>
                  </a:sysClr>
                </a:solidFill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layout/>
                <c15:showDataLabelsRange val="1"/>
                <c15:showLeaderLines val="0"/>
              </c:ext>
            </c:extLst>
          </c:dLbls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time_breakdown!$B$21:$B$25</c:f>
              <c:numCache>
                <c:formatCode>0</c:formatCode>
                <c:ptCount val="5"/>
                <c:pt idx="0">
                  <c:v>26.185312792874999</c:v>
                </c:pt>
                <c:pt idx="1">
                  <c:v>25.261367342510418</c:v>
                </c:pt>
                <c:pt idx="2">
                  <c:v>23.002634674046874</c:v>
                </c:pt>
                <c:pt idx="3">
                  <c:v>20.749477287454859</c:v>
                </c:pt>
                <c:pt idx="4">
                  <c:v>20.544819726302634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time_breakdown!$G$45:$G$49</c15:f>
                <c15:dlblRangeCache>
                  <c:ptCount val="5"/>
                  <c:pt idx="0">
                    <c:v>f=1046</c:v>
                  </c:pt>
                  <c:pt idx="1">
                    <c:v>f=1491</c:v>
                  </c:pt>
                  <c:pt idx="2">
                    <c:v>f=1831</c:v>
                  </c:pt>
                  <c:pt idx="3">
                    <c:v>f=2025</c:v>
                  </c:pt>
                  <c:pt idx="4">
                    <c:v>f=2324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76A-462D-BD1F-D713FBF91ADF}"/>
            </c:ext>
          </c:extLst>
        </c:ser>
        <c:ser>
          <c:idx val="0"/>
          <c:order val="1"/>
          <c:tx>
            <c:strRef>
              <c:f>time_breakdown!$C$20</c:f>
              <c:strCache>
                <c:ptCount val="1"/>
                <c:pt idx="0">
                  <c:v>rebuilding</c:v>
                </c:pt>
              </c:strCache>
            </c:strRef>
          </c:tx>
          <c:spPr>
            <a:solidFill>
              <a:schemeClr val="accent1"/>
            </a:solidFill>
            <a:ln w="76200"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time_breakdown!$C$21:$C$25</c:f>
              <c:numCache>
                <c:formatCode>General</c:formatCode>
                <c:ptCount val="5"/>
                <c:pt idx="0">
                  <c:v>3.742993807125</c:v>
                </c:pt>
                <c:pt idx="1">
                  <c:v>4.666946804052083</c:v>
                </c:pt>
                <c:pt idx="2">
                  <c:v>6.9256798350729163</c:v>
                </c:pt>
                <c:pt idx="3">
                  <c:v>9.1788534040520844</c:v>
                </c:pt>
                <c:pt idx="4">
                  <c:v>9.3844639756657884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6A-462D-BD1F-D713FBF91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68041416"/>
        <c:axId val="568046120"/>
      </c:barChart>
      <c:catAx>
        <c:axId val="568041416"/>
        <c:scaling>
          <c:orientation val="minMax"/>
        </c:scaling>
        <c:delete val="0"/>
        <c:axPos val="b"/>
        <c:majorGridlines>
          <c:spPr>
            <a:ln w="38100" cap="flat" cmpd="sng" algn="ctr">
              <a:solidFill>
                <a:schemeClr val="tx1">
                  <a:lumMod val="60000"/>
                  <a:lumOff val="40000"/>
                </a:schemeClr>
              </a:solidFill>
              <a:round/>
            </a:ln>
            <a:effectLst/>
          </c:spPr>
        </c:majorGridlines>
        <c:minorGridlines>
          <c:spPr>
            <a:ln w="38100" cap="flat" cmpd="sng" algn="ctr">
              <a:solidFill>
                <a:schemeClr val="tx1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>
                    <a:solidFill>
                      <a:srgbClr val="000000"/>
                    </a:solidFill>
                  </a:rPr>
                  <a:t>number of threads</a:t>
                </a:r>
              </a:p>
            </c:rich>
          </c:tx>
          <c:layout>
            <c:manualLayout>
              <c:xMode val="edge"/>
              <c:yMode val="edge"/>
              <c:x val="0.37805356262761974"/>
              <c:y val="0.893162199898612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46120"/>
        <c:crossesAt val="0"/>
        <c:auto val="1"/>
        <c:lblAlgn val="ctr"/>
        <c:lblOffset val="100"/>
        <c:noMultiLvlLbl val="1"/>
      </c:catAx>
      <c:valAx>
        <c:axId val="568046120"/>
        <c:scaling>
          <c:orientation val="minMax"/>
          <c:max val="32"/>
          <c:min val="0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60000"/>
                  <a:lumOff val="4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 b="1">
                    <a:solidFill>
                      <a:schemeClr val="bg1"/>
                    </a:solidFill>
                  </a:rPr>
                  <a:t>seconds of execution</a:t>
                </a:r>
              </a:p>
            </c:rich>
          </c:tx>
          <c:layout>
            <c:manualLayout>
              <c:xMode val="edge"/>
              <c:yMode val="edge"/>
              <c:x val="4.9617366321706247E-4"/>
              <c:y val="0.10734825950943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41416"/>
        <c:crosses val="autoZero"/>
        <c:crossBetween val="between"/>
        <c:majorUnit val="5"/>
      </c:valAx>
      <c:spPr>
        <a:solidFill>
          <a:srgbClr val="FFFFFF"/>
        </a:solidFill>
        <a:ln w="38100">
          <a:solidFill>
            <a:schemeClr val="bg1"/>
          </a:solidFill>
        </a:ln>
        <a:effectLst/>
      </c:spPr>
    </c:plotArea>
    <c:legend>
      <c:legendPos val="r"/>
      <c:layout>
        <c:manualLayout>
          <c:xMode val="edge"/>
          <c:yMode val="edge"/>
          <c:x val="0.58069894411189726"/>
          <c:y val="0.57703563629509924"/>
          <c:w val="0.34058619769493409"/>
          <c:h val="0.16223781071677704"/>
        </c:manualLayout>
      </c:layout>
      <c:overlay val="1"/>
      <c:spPr>
        <a:solidFill>
          <a:srgbClr val="FFFFFF"/>
        </a:solidFill>
        <a:ln w="12700">
          <a:solidFill>
            <a:srgbClr val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rgbClr val="FFFF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1</xdr:row>
      <xdr:rowOff>19051</xdr:rowOff>
    </xdr:from>
    <xdr:to>
      <xdr:col>10</xdr:col>
      <xdr:colOff>38100</xdr:colOff>
      <xdr:row>1</xdr:row>
      <xdr:rowOff>247651</xdr:rowOff>
    </xdr:to>
    <xdr:sp macro="[0]!processData" textlink="">
      <xdr:nvSpPr>
        <xdr:cNvPr id="2" name="Rectangle 1"/>
        <xdr:cNvSpPr/>
      </xdr:nvSpPr>
      <xdr:spPr>
        <a:xfrm>
          <a:off x="4597400" y="285751"/>
          <a:ext cx="1504950" cy="2286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Load CSV</a:t>
          </a:r>
          <a:r>
            <a:rPr lang="en-US" sz="1600" baseline="0"/>
            <a:t> file</a:t>
          </a:r>
          <a:endParaRPr 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63500</xdr:colOff>
      <xdr:row>4</xdr:row>
      <xdr:rowOff>63500</xdr:rowOff>
    </xdr:from>
    <xdr:to>
      <xdr:col>27</xdr:col>
      <xdr:colOff>157162</xdr:colOff>
      <xdr:row>6</xdr:row>
      <xdr:rowOff>87401</xdr:rowOff>
    </xdr:to>
    <xdr:sp macro="[0]!NextExperiment" textlink="">
      <xdr:nvSpPr>
        <xdr:cNvPr id="2" name="Rectangle 1"/>
        <xdr:cNvSpPr/>
      </xdr:nvSpPr>
      <xdr:spPr>
        <a:xfrm>
          <a:off x="5326743" y="803729"/>
          <a:ext cx="1579562" cy="39401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graph</a:t>
          </a:r>
        </a:p>
      </xdr:txBody>
    </xdr:sp>
    <xdr:clientData/>
  </xdr:twoCellAnchor>
  <xdr:twoCellAnchor>
    <xdr:from>
      <xdr:col>25</xdr:col>
      <xdr:colOff>63500</xdr:colOff>
      <xdr:row>6</xdr:row>
      <xdr:rowOff>182530</xdr:rowOff>
    </xdr:from>
    <xdr:to>
      <xdr:col>27</xdr:col>
      <xdr:colOff>157162</xdr:colOff>
      <xdr:row>9</xdr:row>
      <xdr:rowOff>25456</xdr:rowOff>
    </xdr:to>
    <xdr:sp macro="[0]!exportexpchart" textlink="">
      <xdr:nvSpPr>
        <xdr:cNvPr id="3" name="Rectangle 2"/>
        <xdr:cNvSpPr/>
      </xdr:nvSpPr>
      <xdr:spPr>
        <a:xfrm>
          <a:off x="5326743" y="1292873"/>
          <a:ext cx="1579562" cy="398097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25</xdr:col>
      <xdr:colOff>68263</xdr:colOff>
      <xdr:row>9</xdr:row>
      <xdr:rowOff>111059</xdr:rowOff>
    </xdr:from>
    <xdr:to>
      <xdr:col>27</xdr:col>
      <xdr:colOff>155575</xdr:colOff>
      <xdr:row>11</xdr:row>
      <xdr:rowOff>134960</xdr:rowOff>
    </xdr:to>
    <xdr:sp macro="[0]!CycleThroughExperiments" textlink="">
      <xdr:nvSpPr>
        <xdr:cNvPr id="4" name="Rectangle 3"/>
        <xdr:cNvSpPr/>
      </xdr:nvSpPr>
      <xdr:spPr>
        <a:xfrm>
          <a:off x="5331506" y="1776573"/>
          <a:ext cx="1573212" cy="394016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27</xdr:col>
      <xdr:colOff>190499</xdr:colOff>
      <xdr:row>1</xdr:row>
      <xdr:rowOff>171450</xdr:rowOff>
    </xdr:from>
    <xdr:to>
      <xdr:col>41</xdr:col>
      <xdr:colOff>523873</xdr:colOff>
      <xdr:row>42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35brown" refreshedDate="43621.758792708337" missingItemsLimit="0" createdVersion="6" refreshedVersion="6" minRefreshableVersion="3" recordCount="41">
  <cacheSource type="worksheet">
    <worksheetSource ref="A1:BG1048576" sheet="data"/>
  </cacheSource>
  <cacheFields count="59">
    <cacheField name="filename" numFmtId="0">
      <sharedItems containsBlank="1"/>
    </cacheField>
    <cacheField name="DS_TYPENAME" numFmtId="0">
      <sharedItems containsBlank="1"/>
    </cacheField>
    <cacheField name="size_node" numFmtId="0">
      <sharedItems containsString="0" containsBlank="1" containsNumber="1" containsInteger="1" minValue="72" maxValue="72"/>
    </cacheField>
    <cacheField name="RECLAIM" numFmtId="0">
      <sharedItems containsBlank="1"/>
    </cacheField>
    <cacheField name="ALLOC" numFmtId="0">
      <sharedItems containsBlank="1"/>
    </cacheField>
    <cacheField name="POOL" numFmtId="0">
      <sharedItems containsBlank="1"/>
    </cacheField>
    <cacheField name="MILLIS_TO_RUN" numFmtId="0">
      <sharedItems containsString="0" containsBlank="1" containsNumber="1" containsInteger="1" minValue="30000" maxValue="30000"/>
    </cacheField>
    <cacheField name="INS" numFmtId="0">
      <sharedItems containsString="0" containsBlank="1" containsNumber="1" minValue="0.5" maxValue="20"/>
    </cacheField>
    <cacheField name="DEL" numFmtId="0">
      <sharedItems containsString="0" containsBlank="1" containsNumber="1" minValue="0.5" maxValue="20"/>
    </cacheField>
    <cacheField name="RQ" numFmtId="0">
      <sharedItems containsString="0" containsBlank="1" containsNumber="1" containsInteger="1" minValue="0" maxValue="0"/>
    </cacheField>
    <cacheField name="RQSIZE" numFmtId="0">
      <sharedItems containsString="0" containsBlank="1" containsNumber="1" containsInteger="1" minValue="1" maxValue="1"/>
    </cacheField>
    <cacheField name="MAXKEY" numFmtId="0">
      <sharedItems containsString="0" containsBlank="1" containsNumber="1" containsInteger="1" minValue="2000000" maxValue="200000000"/>
    </cacheField>
    <cacheField name="PREFILL_THREADS" numFmtId="0">
      <sharedItems containsString="0" containsBlank="1" containsNumber="1" containsInteger="1" minValue="24" maxValue="190"/>
    </cacheField>
    <cacheField name="TOTAL_THREADS" numFmtId="0">
      <sharedItems containsString="0" containsBlank="1" containsNumber="1" containsInteger="1" minValue="24" maxValue="190" count="6">
        <n v="24"/>
        <n v="48"/>
        <n v="96"/>
        <n v="144"/>
        <n v="190"/>
        <m/>
      </sharedItems>
    </cacheField>
    <cacheField name="WORK_THREADS" numFmtId="0">
      <sharedItems containsString="0" containsBlank="1" containsNumber="1" containsInteger="1" minValue="24" maxValue="190"/>
    </cacheField>
    <cacheField name="RQ_THREADS" numFmtId="0">
      <sharedItems containsString="0" containsBlank="1" containsNumber="1" containsInteger="1" minValue="0" maxValue="0"/>
    </cacheField>
    <cacheField name="INSERT_FUNC" numFmtId="0">
      <sharedItems containsBlank="1"/>
    </cacheField>
    <cacheField name="threads_final_keysum" numFmtId="0">
      <sharedItems containsString="0" containsBlank="1" containsNumber="1" containsInteger="1" minValue="998560990067" maxValue="1.00016543298819E+16"/>
    </cacheField>
    <cacheField name="threads_final_size" numFmtId="0">
      <sharedItems containsString="0" containsBlank="1" containsNumber="1" containsInteger="1" minValue="998213" maxValue="100014654"/>
    </cacheField>
    <cacheField name="final_keysum" numFmtId="0">
      <sharedItems containsString="0" containsBlank="1" containsNumber="1" containsInteger="1" minValue="998560990067" maxValue="1.00016543298819E+16"/>
    </cacheField>
    <cacheField name="final_size" numFmtId="0">
      <sharedItems containsString="0" containsBlank="1" containsNumber="1" containsInteger="1" minValue="998213" maxValue="100014654"/>
    </cacheField>
    <cacheField name="validate_result" numFmtId="0">
      <sharedItems containsBlank="1"/>
    </cacheField>
    <cacheField name="tree_stats_height" numFmtId="0">
      <sharedItems containsString="0" containsBlank="1" containsNumber="1" containsInteger="1" minValue="6" maxValue="7"/>
    </cacheField>
    <cacheField name="tree_stats_numInternals" numFmtId="0">
      <sharedItems containsString="0" containsBlank="1" containsNumber="1" containsInteger="1" minValue="33060" maxValue="14933326"/>
    </cacheField>
    <cacheField name="tree_stats_numLeaves" numFmtId="0">
      <sharedItems containsString="0" containsBlank="1" containsNumber="1" containsInteger="1" minValue="1031913" maxValue="118232647"/>
    </cacheField>
    <cacheField name="tree_stats_numNodes" numFmtId="0">
      <sharedItems containsString="0" containsBlank="1" containsNumber="1" containsInteger="1" minValue="1064973" maxValue="133165973"/>
    </cacheField>
    <cacheField name="tree_stats_numKeys" numFmtId="0">
      <sharedItems containsString="0" containsBlank="1" containsNumber="1" containsInteger="1" minValue="998213" maxValue="100014654"/>
    </cacheField>
    <cacheField name="tree_stats_avgDegreeInternal" numFmtId="0">
      <sharedItems containsString="0" containsBlank="1" containsNumber="1" minValue="8.9172600000000006" maxValue="32.213299999999997"/>
    </cacheField>
    <cacheField name="tree_stats_avgDegreeLeaves" numFmtId="0">
      <sharedItems containsString="0" containsBlank="1" containsNumber="1" minValue="0.84582900000000005" maxValue="0.96889199999999998"/>
    </cacheField>
    <cacheField name="tree_stats_avgDegree" numFmtId="0">
      <sharedItems containsString="0" containsBlank="1" containsNumber="1" minValue="1.75098" maxValue="1.9388099999999999"/>
    </cacheField>
    <cacheField name="tree_stats_avgKeyDepth" numFmtId="0">
      <sharedItems containsString="0" containsBlank="1" containsNumber="1" minValue="3.0001199999999999" maxValue="4.0819200000000002"/>
    </cacheField>
    <cacheField name="tree_stats_sizeInBytes" numFmtId="0">
      <sharedItems containsString="0" containsBlank="1" containsNumber="1" containsInteger="1" minValue="19155392" maxValue="3090561312"/>
    </cacheField>
    <cacheField name="sum_num_try_rebuild_at_depth_by_index" numFmtId="0">
      <sharedItems containsBlank="1"/>
    </cacheField>
    <cacheField name="sum_num_complete_rebuild_at_depth_by_index" numFmtId="0">
      <sharedItems containsBlank="1"/>
    </cacheField>
    <cacheField name="sum_num_help_subtree_total" numFmtId="0">
      <sharedItems containsString="0" containsBlank="1" containsNumber="1" containsInteger="1" minValue="1" maxValue="24636935"/>
    </cacheField>
    <cacheField name="first_thread_announced_epoch_by_index" numFmtId="0">
      <sharedItems containsString="0" containsBlank="1" containsNumber="1" containsInteger="1" minValue="12714" maxValue="881254"/>
    </cacheField>
    <cacheField name="sum_elapsed_rebuild_depth_total" numFmtId="0">
      <sharedItems containsString="0" containsBlank="1" containsNumber="1" containsInteger="1" minValue="257415660" maxValue="1783375384602"/>
    </cacheField>
    <cacheField name="sum_elapsed_all_ops_total" numFmtId="0">
      <sharedItems containsString="0" containsBlank="1" containsNumber="1" containsInteger="1" minValue="718278690000" maxValue="5693091741835"/>
    </cacheField>
    <cacheField name="total_find" numFmtId="0">
      <sharedItems containsString="0" containsBlank="1" containsNumber="1" containsInteger="1" minValue="300010453" maxValue="12948445771"/>
    </cacheField>
    <cacheField name="total_rq" numFmtId="0">
      <sharedItems containsString="0" containsBlank="1" containsNumber="1" containsInteger="1" minValue="0" maxValue="0"/>
    </cacheField>
    <cacheField name="total_updates" numFmtId="0">
      <sharedItems containsString="0" containsBlank="1" containsNumber="1" containsInteger="1" minValue="8655581" maxValue="1161264179"/>
    </cacheField>
    <cacheField name="total_queries" numFmtId="0">
      <sharedItems containsString="0" containsBlank="1" containsNumber="1" containsInteger="1" minValue="300010453" maxValue="12948445771"/>
    </cacheField>
    <cacheField name="total_ops" numFmtId="0">
      <sharedItems containsString="0" containsBlank="1" containsNumber="1" containsInteger="1" minValue="499999479" maxValue="13079232863"/>
    </cacheField>
    <cacheField name="find_throughput" numFmtId="0">
      <sharedItems containsString="0" containsBlank="1" containsNumber="1" containsInteger="1" minValue="10000348" maxValue="431614859"/>
    </cacheField>
    <cacheField name="rq_throughput" numFmtId="0">
      <sharedItems containsString="0" containsBlank="1" containsNumber="1" containsInteger="1" minValue="0" maxValue="0"/>
    </cacheField>
    <cacheField name="update_throughput" numFmtId="0">
      <sharedItems containsString="0" containsBlank="1" containsNumber="1" containsInteger="1" minValue="288519" maxValue="38708805"/>
    </cacheField>
    <cacheField name="query_throughput" numFmtId="0">
      <sharedItems containsString="0" containsBlank="1" containsNumber="1" containsInteger="1" minValue="10000348" maxValue="431614859"/>
    </cacheField>
    <cacheField name="total_throughput" numFmtId="0">
      <sharedItems containsString="0" containsBlank="1" containsNumber="1" containsInteger="1" minValue="16666649" maxValue="435974428"/>
    </cacheField>
    <cacheField name="PAPI_L2_TCM" numFmtId="0">
      <sharedItems containsString="0" containsBlank="1" containsNumber="1" minValue="8.4165500000000009" maxValue="31.5853"/>
    </cacheField>
    <cacheField name="PAPI_L3_TCM" numFmtId="0">
      <sharedItems containsString="0" containsBlank="1" containsNumber="1" minValue="9.7589599999999999E-2" maxValue="17.667000000000002"/>
    </cacheField>
    <cacheField name="PAPI_TOT_CYC" numFmtId="0">
      <sharedItems containsString="0" containsBlank="1" containsNumber="1" minValue="843.00300000000004" maxValue="5703.42"/>
    </cacheField>
    <cacheField name="PAPI_RES_STL" numFmtId="0">
      <sharedItems containsString="0" containsBlank="1" containsNumber="1" minValue="278.58699999999999" maxValue="4207.79"/>
    </cacheField>
    <cacheField name="maxresident_mb" numFmtId="0">
      <sharedItems containsString="0" containsBlank="1" containsNumber="1" containsInteger="1" minValue="1186" maxValue="14434"/>
    </cacheField>
    <cacheField name="prefill_elapsed_ms" numFmtId="0">
      <sharedItems containsString="0" containsBlank="1" containsNumber="1" containsInteger="1" minValue="24" maxValue="1550"/>
    </cacheField>
    <cacheField name="exp" numFmtId="0">
      <sharedItems containsBlank="1" count="5">
        <s v="u=40%, k=2x10^6"/>
        <s v="u=40%, k=2x10^8"/>
        <s v="u=1%, k=2x10^6"/>
        <s v="u=1%, k=2x10^8"/>
        <m/>
      </sharedItems>
    </cacheField>
    <cacheField name="depth0_rebuild_count" numFmtId="0">
      <sharedItems containsString="0" containsBlank="1" containsNumber="1" containsInteger="1" minValue="0" maxValue="2325"/>
    </cacheField>
    <cacheField name="depth1_rebuild_count" numFmtId="0">
      <sharedItems containsString="0" containsBlank="1" containsNumber="1" containsInteger="1" minValue="0" maxValue="5868252"/>
    </cacheField>
    <cacheField name="total_time_sec_div_threads" numFmtId="0">
      <sharedItems containsString="0" containsBlank="1" containsNumber="1" minValue="29.92827875" maxValue="29.978619891416667"/>
    </cacheField>
    <cacheField name="rebuild_time_sec_div_threads" numFmtId="0">
      <sharedItems containsString="0" containsBlank="1" containsNumber="1" minValue="1.07256525E-2" maxValue="9.3861862347473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35brown" refreshedDate="43621.758793634261" missingItemsLimit="0" createdVersion="6" refreshedVersion="6" minRefreshableVersion="3" recordCount="41">
  <cacheSource type="worksheet">
    <worksheetSource ref="A1:BJ1048576" sheet="data"/>
  </cacheSource>
  <cacheFields count="62">
    <cacheField name="filename" numFmtId="0">
      <sharedItems containsBlank="1"/>
    </cacheField>
    <cacheField name="DS_TYPENAME" numFmtId="0">
      <sharedItems containsBlank="1"/>
    </cacheField>
    <cacheField name="size_node" numFmtId="0">
      <sharedItems containsString="0" containsBlank="1" containsNumber="1" containsInteger="1" minValue="72" maxValue="72"/>
    </cacheField>
    <cacheField name="RECLAIM" numFmtId="0">
      <sharedItems containsBlank="1"/>
    </cacheField>
    <cacheField name="ALLOC" numFmtId="0">
      <sharedItems containsBlank="1"/>
    </cacheField>
    <cacheField name="POOL" numFmtId="0">
      <sharedItems containsBlank="1"/>
    </cacheField>
    <cacheField name="MILLIS_TO_RUN" numFmtId="0">
      <sharedItems containsString="0" containsBlank="1" containsNumber="1" containsInteger="1" minValue="30000" maxValue="30000"/>
    </cacheField>
    <cacheField name="INS" numFmtId="0">
      <sharedItems containsString="0" containsBlank="1" containsNumber="1" minValue="0.5" maxValue="20"/>
    </cacheField>
    <cacheField name="DEL" numFmtId="0">
      <sharedItems containsString="0" containsBlank="1" containsNumber="1" minValue="0.5" maxValue="20"/>
    </cacheField>
    <cacheField name="RQ" numFmtId="0">
      <sharedItems containsString="0" containsBlank="1" containsNumber="1" containsInteger="1" minValue="0" maxValue="0"/>
    </cacheField>
    <cacheField name="RQSIZE" numFmtId="0">
      <sharedItems containsString="0" containsBlank="1" containsNumber="1" containsInteger="1" minValue="1" maxValue="1"/>
    </cacheField>
    <cacheField name="MAXKEY" numFmtId="0">
      <sharedItems containsString="0" containsBlank="1" containsNumber="1" containsInteger="1" minValue="2000000" maxValue="200000000"/>
    </cacheField>
    <cacheField name="PREFILL_THREADS" numFmtId="0">
      <sharedItems containsString="0" containsBlank="1" containsNumber="1" containsInteger="1" minValue="24" maxValue="190"/>
    </cacheField>
    <cacheField name="TOTAL_THREADS" numFmtId="0">
      <sharedItems containsString="0" containsBlank="1" containsNumber="1" containsInteger="1" minValue="24" maxValue="190"/>
    </cacheField>
    <cacheField name="WORK_THREADS" numFmtId="0">
      <sharedItems containsString="0" containsBlank="1" containsNumber="1" containsInteger="1" minValue="24" maxValue="190"/>
    </cacheField>
    <cacheField name="RQ_THREADS" numFmtId="0">
      <sharedItems containsString="0" containsBlank="1" containsNumber="1" containsInteger="1" minValue="0" maxValue="0"/>
    </cacheField>
    <cacheField name="INSERT_FUNC" numFmtId="0">
      <sharedItems containsBlank="1"/>
    </cacheField>
    <cacheField name="threads_final_keysum" numFmtId="0">
      <sharedItems containsString="0" containsBlank="1" containsNumber="1" containsInteger="1" minValue="998560990067" maxValue="1.00016543298819E+16"/>
    </cacheField>
    <cacheField name="threads_final_size" numFmtId="0">
      <sharedItems containsString="0" containsBlank="1" containsNumber="1" containsInteger="1" minValue="998213" maxValue="100014654"/>
    </cacheField>
    <cacheField name="final_keysum" numFmtId="0">
      <sharedItems containsString="0" containsBlank="1" containsNumber="1" containsInteger="1" minValue="998560990067" maxValue="1.00016543298819E+16"/>
    </cacheField>
    <cacheField name="final_size" numFmtId="0">
      <sharedItems containsString="0" containsBlank="1" containsNumber="1" containsInteger="1" minValue="998213" maxValue="100014654"/>
    </cacheField>
    <cacheField name="validate_result" numFmtId="0">
      <sharedItems containsBlank="1"/>
    </cacheField>
    <cacheField name="tree_stats_height" numFmtId="0">
      <sharedItems containsString="0" containsBlank="1" containsNumber="1" containsInteger="1" minValue="6" maxValue="7"/>
    </cacheField>
    <cacheField name="tree_stats_numInternals" numFmtId="0">
      <sharedItems containsString="0" containsBlank="1" containsNumber="1" containsInteger="1" minValue="33060" maxValue="14933326"/>
    </cacheField>
    <cacheField name="tree_stats_numLeaves" numFmtId="0">
      <sharedItems containsString="0" containsBlank="1" containsNumber="1" containsInteger="1" minValue="1031913" maxValue="118232647"/>
    </cacheField>
    <cacheField name="tree_stats_numNodes" numFmtId="0">
      <sharedItems containsString="0" containsBlank="1" containsNumber="1" containsInteger="1" minValue="1064973" maxValue="133165973"/>
    </cacheField>
    <cacheField name="tree_stats_numKeys" numFmtId="0">
      <sharedItems containsString="0" containsBlank="1" containsNumber="1" containsInteger="1" minValue="998213" maxValue="100014654"/>
    </cacheField>
    <cacheField name="tree_stats_avgDegreeInternal" numFmtId="0">
      <sharedItems containsString="0" containsBlank="1" containsNumber="1" minValue="8.9172600000000006" maxValue="32.213299999999997"/>
    </cacheField>
    <cacheField name="tree_stats_avgDegreeLeaves" numFmtId="0">
      <sharedItems containsString="0" containsBlank="1" containsNumber="1" minValue="0.84582900000000005" maxValue="0.96889199999999998"/>
    </cacheField>
    <cacheField name="tree_stats_avgDegree" numFmtId="0">
      <sharedItems containsString="0" containsBlank="1" containsNumber="1" minValue="1.75098" maxValue="1.9388099999999999"/>
    </cacheField>
    <cacheField name="tree_stats_avgKeyDepth" numFmtId="0">
      <sharedItems containsString="0" containsBlank="1" containsNumber="1" minValue="3.0001199999999999" maxValue="4.0819200000000002"/>
    </cacheField>
    <cacheField name="tree_stats_sizeInBytes" numFmtId="0">
      <sharedItems containsString="0" containsBlank="1" containsNumber="1" containsInteger="1" minValue="19155392" maxValue="3090561312"/>
    </cacheField>
    <cacheField name="sum_num_try_rebuild_at_depth_by_index" numFmtId="0">
      <sharedItems containsBlank="1"/>
    </cacheField>
    <cacheField name="sum_num_complete_rebuild_at_depth_by_index" numFmtId="0">
      <sharedItems containsBlank="1"/>
    </cacheField>
    <cacheField name="sum_num_help_subtree_total" numFmtId="0">
      <sharedItems containsString="0" containsBlank="1" containsNumber="1" containsInteger="1" minValue="1" maxValue="24636935"/>
    </cacheField>
    <cacheField name="first_thread_announced_epoch_by_index" numFmtId="0">
      <sharedItems containsString="0" containsBlank="1" containsNumber="1" containsInteger="1" minValue="12714" maxValue="881254"/>
    </cacheField>
    <cacheField name="sum_elapsed_rebuild_depth_total" numFmtId="0">
      <sharedItems containsString="0" containsBlank="1" containsNumber="1" containsInteger="1" minValue="257415660" maxValue="1783375384602"/>
    </cacheField>
    <cacheField name="sum_elapsed_all_ops_total" numFmtId="0">
      <sharedItems containsString="0" containsBlank="1" containsNumber="1" containsInteger="1" minValue="718278690000" maxValue="5693091741835"/>
    </cacheField>
    <cacheField name="total_find" numFmtId="0">
      <sharedItems containsString="0" containsBlank="1" containsNumber="1" containsInteger="1" minValue="300010453" maxValue="12948445771"/>
    </cacheField>
    <cacheField name="total_rq" numFmtId="0">
      <sharedItems containsString="0" containsBlank="1" containsNumber="1" containsInteger="1" minValue="0" maxValue="0"/>
    </cacheField>
    <cacheField name="total_updates" numFmtId="0">
      <sharedItems containsString="0" containsBlank="1" containsNumber="1" containsInteger="1" minValue="8655581" maxValue="1161264179"/>
    </cacheField>
    <cacheField name="total_queries" numFmtId="0">
      <sharedItems containsString="0" containsBlank="1" containsNumber="1" containsInteger="1" minValue="300010453" maxValue="12948445771"/>
    </cacheField>
    <cacheField name="total_ops" numFmtId="0">
      <sharedItems containsString="0" containsBlank="1" containsNumber="1" containsInteger="1" minValue="499999479" maxValue="13079232863"/>
    </cacheField>
    <cacheField name="find_throughput" numFmtId="0">
      <sharedItems containsString="0" containsBlank="1" containsNumber="1" containsInteger="1" minValue="10000348" maxValue="431614859"/>
    </cacheField>
    <cacheField name="rq_throughput" numFmtId="0">
      <sharedItems containsString="0" containsBlank="1" containsNumber="1" containsInteger="1" minValue="0" maxValue="0"/>
    </cacheField>
    <cacheField name="update_throughput" numFmtId="0">
      <sharedItems containsString="0" containsBlank="1" containsNumber="1" containsInteger="1" minValue="288519" maxValue="38708805"/>
    </cacheField>
    <cacheField name="query_throughput" numFmtId="0">
      <sharedItems containsString="0" containsBlank="1" containsNumber="1" containsInteger="1" minValue="10000348" maxValue="431614859"/>
    </cacheField>
    <cacheField name="total_throughput" numFmtId="0">
      <sharedItems containsString="0" containsBlank="1" containsNumber="1" containsInteger="1" minValue="16666649" maxValue="435974428"/>
    </cacheField>
    <cacheField name="PAPI_L2_TCM" numFmtId="0">
      <sharedItems containsString="0" containsBlank="1" containsNumber="1" minValue="8.4165500000000009" maxValue="31.5853"/>
    </cacheField>
    <cacheField name="PAPI_L3_TCM" numFmtId="0">
      <sharedItems containsString="0" containsBlank="1" containsNumber="1" minValue="9.7589599999999999E-2" maxValue="17.667000000000002"/>
    </cacheField>
    <cacheField name="PAPI_TOT_CYC" numFmtId="0">
      <sharedItems containsString="0" containsBlank="1" containsNumber="1" minValue="843.00300000000004" maxValue="5703.42"/>
    </cacheField>
    <cacheField name="PAPI_RES_STL" numFmtId="0">
      <sharedItems containsString="0" containsBlank="1" containsNumber="1" minValue="278.58699999999999" maxValue="4207.79"/>
    </cacheField>
    <cacheField name="maxresident_mb" numFmtId="0">
      <sharedItems containsString="0" containsBlank="1" containsNumber="1" containsInteger="1" minValue="1186" maxValue="14434"/>
    </cacheField>
    <cacheField name="prefill_elapsed_ms" numFmtId="0">
      <sharedItems containsString="0" containsBlank="1" containsNumber="1" containsInteger="1" minValue="24" maxValue="1550"/>
    </cacheField>
    <cacheField name="exp" numFmtId="0">
      <sharedItems containsBlank="1" count="5">
        <s v="u=40%, k=2x10^6"/>
        <s v="u=40%, k=2x10^8"/>
        <s v="u=1%, k=2x10^6"/>
        <s v="u=1%, k=2x10^8"/>
        <m/>
      </sharedItems>
    </cacheField>
    <cacheField name="depth0_rebuild_count" numFmtId="0">
      <sharedItems containsString="0" containsBlank="1" containsNumber="1" containsInteger="1" minValue="0" maxValue="2325"/>
    </cacheField>
    <cacheField name="depth1_rebuild_count" numFmtId="0">
      <sharedItems containsString="0" containsBlank="1" containsNumber="1" containsInteger="1" minValue="0" maxValue="5868252"/>
    </cacheField>
    <cacheField name="total_time_sec_div_threads" numFmtId="0">
      <sharedItems containsString="0" containsBlank="1" containsNumber="1" minValue="29.92827875" maxValue="29.978619891416667"/>
    </cacheField>
    <cacheField name="rebuild_time_sec_div_threads" numFmtId="0">
      <sharedItems containsString="0" containsBlank="1" containsNumber="1" minValue="1.07256525E-2" maxValue="9.3861862347473686"/>
    </cacheField>
    <cacheField name="depth2_rebuild_count" numFmtId="0">
      <sharedItems containsString="0" containsBlank="1" containsNumber="1" containsInteger="1" minValue="0" maxValue="13994936"/>
    </cacheField>
    <cacheField name="depth3_rebuild_count" numFmtId="0">
      <sharedItems containsString="0" containsBlank="1" containsNumber="1" containsInteger="1" minValue="108502" maxValue="77737377"/>
    </cacheField>
    <cacheField name="depth4_rebuild_count" numFmtId="0">
      <sharedItems containsString="0" containsBlank="1" containsNumber="1" containsInteger="1" minValue="0" maxValue="133211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s v="istree_exp6_rebuilding_time/step10001.txt"/>
    <s v="brown_ext_ist_lf"/>
    <n v="72"/>
    <s v="reclaimer_debra"/>
    <s v="allocator_new"/>
    <s v="pool_none"/>
    <n v="30000"/>
    <n v="20"/>
    <n v="20"/>
    <n v="0"/>
    <n v="1"/>
    <n v="2000000"/>
    <n v="24"/>
    <x v="0"/>
    <n v="24"/>
    <n v="0"/>
    <s v="insertIfAbsent"/>
    <n v="1000572364470"/>
    <n v="1000708"/>
    <n v="1000572364470"/>
    <n v="1000708"/>
    <s v="success"/>
    <n v="6"/>
    <n v="50330"/>
    <n v="1068357"/>
    <n v="1118687"/>
    <n v="1000708"/>
    <n v="22.227"/>
    <n v="0.93667900000000004"/>
    <n v="1.8945399999999999"/>
    <n v="3.0365799999999998"/>
    <n v="21143136"/>
    <s v="2113 938717 13491442 15112621"/>
    <s v="1043 935319 13487792 15112304"/>
    <n v="428816"/>
    <n v="530574"/>
    <n v="89841285765"/>
    <n v="718278690000"/>
    <n v="783066057"/>
    <n v="0"/>
    <n v="522038304"/>
    <n v="783066057"/>
    <n v="1305104361"/>
    <n v="26102201"/>
    <n v="0"/>
    <n v="17401276"/>
    <n v="26102201"/>
    <n v="43503478"/>
    <n v="15.7529"/>
    <n v="1.05504"/>
    <n v="1535.72"/>
    <n v="610.70100000000002"/>
    <n v="1215"/>
    <n v="27"/>
    <x v="0"/>
    <n v="1043"/>
    <n v="935319"/>
    <n v="29.92827875"/>
    <n v="3.7433869068749996"/>
  </r>
  <r>
    <s v="istree_exp6_rebuilding_time/step10002.txt"/>
    <s v="brown_ext_ist_lf"/>
    <n v="72"/>
    <s v="reclaimer_debra"/>
    <s v="allocator_new"/>
    <s v="pool_none"/>
    <n v="30000"/>
    <n v="20"/>
    <n v="20"/>
    <n v="0"/>
    <n v="1"/>
    <n v="2000000"/>
    <n v="48"/>
    <x v="1"/>
    <n v="48"/>
    <n v="0"/>
    <s v="insertIfAbsent"/>
    <n v="998613146713"/>
    <n v="998708"/>
    <n v="998613146713"/>
    <n v="998708"/>
    <s v="success"/>
    <n v="6"/>
    <n v="80818"/>
    <n v="1131439"/>
    <n v="1212257"/>
    <n v="998708"/>
    <n v="14.9998"/>
    <n v="0.88268800000000003"/>
    <n v="1.8238399999999999"/>
    <n v="3.1047699999999998"/>
    <n v="24667968"/>
    <s v="4020 1476143 14005868 20319023"/>
    <s v="1494 1473088 13994936 20318097"/>
    <n v="1725870"/>
    <n v="192860"/>
    <n v="224306740958"/>
    <n v="1436557831628"/>
    <n v="1120822344"/>
    <n v="0"/>
    <n v="747238068"/>
    <n v="1120822344"/>
    <n v="1868060412"/>
    <n v="37360744"/>
    <n v="0"/>
    <n v="24907935"/>
    <n v="37360744"/>
    <n v="62268680"/>
    <n v="16.204499999999999"/>
    <n v="1.53349"/>
    <n v="2098.2199999999998"/>
    <n v="991.54"/>
    <n v="1268"/>
    <n v="27"/>
    <x v="0"/>
    <n v="1494"/>
    <n v="1473088"/>
    <n v="29.928288158916668"/>
    <n v="4.6730571032916668"/>
  </r>
  <r>
    <s v="istree_exp6_rebuilding_time/step10003.txt"/>
    <s v="brown_ext_ist_lf"/>
    <n v="72"/>
    <s v="reclaimer_debra"/>
    <s v="allocator_new"/>
    <s v="pool_none"/>
    <n v="30000"/>
    <n v="20"/>
    <n v="20"/>
    <n v="0"/>
    <n v="1"/>
    <n v="2000000"/>
    <n v="96"/>
    <x v="2"/>
    <n v="96"/>
    <n v="0"/>
    <s v="insertIfAbsent"/>
    <n v="1000726852709"/>
    <n v="1000568"/>
    <n v="1000726852709"/>
    <n v="1000568"/>
    <s v="success"/>
    <n v="6"/>
    <n v="64724"/>
    <n v="1097207"/>
    <n v="1161931"/>
    <n v="1000568"/>
    <n v="17.952100000000002"/>
    <n v="0.91192300000000004"/>
    <n v="1.86113"/>
    <n v="3.06664"/>
    <n v="22769168"/>
    <s v="4988 2872030 4980271 21133225"/>
    <s v="1829 2845126 4964456 21131072"/>
    <n v="7152403"/>
    <n v="63938"/>
    <n v="663646858593"/>
    <n v="2873115911410"/>
    <n v="1371231193"/>
    <n v="0"/>
    <n v="914213863"/>
    <n v="1371231193"/>
    <n v="2285445056"/>
    <n v="45707706"/>
    <n v="0"/>
    <n v="30473795"/>
    <n v="45707706"/>
    <n v="76181501"/>
    <n v="19.4876"/>
    <n v="6.1401599999999998"/>
    <n v="3506.34"/>
    <n v="2343.0300000000002"/>
    <n v="1383"/>
    <n v="161"/>
    <x v="0"/>
    <n v="1829"/>
    <n v="2845126"/>
    <n v="29.928290743854166"/>
    <n v="6.9129881103437505"/>
  </r>
  <r>
    <s v="istree_exp6_rebuilding_time/step10004.txt"/>
    <s v="brown_ext_ist_lf"/>
    <n v="72"/>
    <s v="reclaimer_debra"/>
    <s v="allocator_new"/>
    <s v="pool_none"/>
    <n v="30000"/>
    <n v="20"/>
    <n v="20"/>
    <n v="0"/>
    <n v="1"/>
    <n v="2000000"/>
    <n v="144"/>
    <x v="3"/>
    <n v="144"/>
    <n v="0"/>
    <s v="insertIfAbsent"/>
    <n v="1001547680169"/>
    <n v="1001266"/>
    <n v="1001547680169"/>
    <n v="1001266"/>
    <s v="success"/>
    <n v="6"/>
    <n v="54241"/>
    <n v="1076446"/>
    <n v="1130687"/>
    <n v="1001266"/>
    <n v="20.845600000000001"/>
    <n v="0.93015899999999996"/>
    <n v="1.88554"/>
    <n v="3.0441199999999999"/>
    <n v="21581568"/>
    <s v="5812 5903625 1063265 16436672"/>
    <s v="2023 5853914 1055646 16434073"/>
    <n v="17894350"/>
    <n v="32088"/>
    <n v="1319443907074"/>
    <n v="4309675802466"/>
    <n v="1516143645"/>
    <n v="0"/>
    <n v="1010868850"/>
    <n v="1516143645"/>
    <n v="2527012495"/>
    <n v="50538121"/>
    <n v="0"/>
    <n v="33695628"/>
    <n v="50538121"/>
    <n v="84233749"/>
    <n v="24.3704"/>
    <n v="10.6127"/>
    <n v="4758.18"/>
    <n v="3453.1"/>
    <n v="1578"/>
    <n v="270"/>
    <x v="0"/>
    <n v="2023"/>
    <n v="5853914"/>
    <n v="29.928304183791667"/>
    <n v="9.1628049102361118"/>
  </r>
  <r>
    <s v="istree_exp6_rebuilding_time/step10005.txt"/>
    <s v="brown_ext_ist_lf"/>
    <n v="72"/>
    <s v="reclaimer_debra"/>
    <s v="allocator_new"/>
    <s v="pool_none"/>
    <n v="30000"/>
    <n v="20"/>
    <n v="20"/>
    <n v="0"/>
    <n v="1"/>
    <n v="2000000"/>
    <n v="190"/>
    <x v="4"/>
    <n v="190"/>
    <n v="0"/>
    <s v="insertIfAbsent"/>
    <n v="1000104563126"/>
    <n v="999812"/>
    <n v="1000104563126"/>
    <n v="999812"/>
    <s v="success"/>
    <n v="6"/>
    <n v="33060"/>
    <n v="1031913"/>
    <n v="1064973"/>
    <n v="999812"/>
    <n v="32.213299999999997"/>
    <n v="0.96889199999999998"/>
    <n v="1.9388099999999999"/>
    <n v="3.0001199999999999"/>
    <n v="19155392"/>
    <s v="7134 5463461 2656701 21788752"/>
    <s v="2324 5404540 2637671 21784773"/>
    <n v="24636935"/>
    <n v="20974"/>
    <n v="1782720926151"/>
    <n v="5686742622408"/>
    <n v="1741226664"/>
    <n v="0"/>
    <n v="1160809600"/>
    <n v="1741226664"/>
    <n v="2902036264"/>
    <n v="58040888"/>
    <n v="0"/>
    <n v="38693653"/>
    <n v="58040888"/>
    <n v="96734542"/>
    <n v="25.047499999999999"/>
    <n v="11.9505"/>
    <n v="5465.32"/>
    <n v="4162.0600000000004"/>
    <n v="1758"/>
    <n v="260"/>
    <x v="0"/>
    <n v="2324"/>
    <n v="5404540"/>
    <n v="29.930224328463158"/>
    <n v="9.38274171658421"/>
  </r>
  <r>
    <s v="istree_exp6_rebuilding_time/step10006.txt"/>
    <s v="brown_ext_ist_lf"/>
    <n v="72"/>
    <s v="reclaimer_debra"/>
    <s v="allocator_new"/>
    <s v="pool_none"/>
    <n v="30000"/>
    <n v="20"/>
    <n v="20"/>
    <n v="0"/>
    <n v="1"/>
    <n v="200000000"/>
    <n v="24"/>
    <x v="0"/>
    <n v="24"/>
    <n v="0"/>
    <s v="insertIfAbsent"/>
    <n v="1.0000305167473E+16"/>
    <n v="100000190"/>
    <n v="1.0000305167473E+16"/>
    <n v="100000190"/>
    <s v="success"/>
    <n v="7"/>
    <n v="11011105"/>
    <n v="110001195"/>
    <n v="121012300"/>
    <n v="100000190"/>
    <n v="10.99"/>
    <n v="0.90908299999999997"/>
    <n v="1.82636"/>
    <n v="4"/>
    <n v="2640907504"/>
    <s v="5 25429 1988760 16865216 2766257"/>
    <s v="4 25391 1988748 16865199 2766256"/>
    <n v="7571"/>
    <n v="183528"/>
    <n v="109853696526"/>
    <n v="719486877394"/>
    <n v="300024768"/>
    <n v="0"/>
    <n v="199995385"/>
    <n v="300024768"/>
    <n v="500020153"/>
    <n v="10000825"/>
    <n v="0"/>
    <n v="6666512"/>
    <n v="10000825"/>
    <n v="16667338"/>
    <n v="27.969799999999999"/>
    <n v="13.652200000000001"/>
    <n v="3889.11"/>
    <n v="2839.89"/>
    <n v="12609"/>
    <n v="1538"/>
    <x v="1"/>
    <n v="4"/>
    <n v="25391"/>
    <n v="29.978619891416667"/>
    <n v="4.5772373552499994"/>
  </r>
  <r>
    <s v="istree_exp6_rebuilding_time/step10007.txt"/>
    <s v="brown_ext_ist_lf"/>
    <n v="72"/>
    <s v="reclaimer_debra"/>
    <s v="allocator_new"/>
    <s v="pool_none"/>
    <n v="30000"/>
    <n v="20"/>
    <n v="20"/>
    <n v="0"/>
    <n v="1"/>
    <n v="200000000"/>
    <n v="48"/>
    <x v="1"/>
    <n v="48"/>
    <n v="0"/>
    <s v="insertIfAbsent"/>
    <n v="9999269022466760"/>
    <n v="99994709"/>
    <n v="9999269022466760"/>
    <n v="99994709"/>
    <s v="success"/>
    <n v="7"/>
    <n v="14782098"/>
    <n v="117868484"/>
    <n v="132650582"/>
    <n v="99994709"/>
    <n v="8.9737299999999998"/>
    <n v="0.84835799999999995"/>
    <n v="1.7538199999999999"/>
    <n v="4.0787100000000001"/>
    <n v="3072179152"/>
    <s v="7 51684 2824027 26459564 4464416"/>
    <s v="6 51614 2823977 26459530 4464416"/>
    <n v="31792"/>
    <n v="69482"/>
    <n v="241516674678"/>
    <n v="1436558468283"/>
    <n v="488837111"/>
    <n v="0"/>
    <n v="325921781"/>
    <n v="488837111"/>
    <n v="814758892"/>
    <n v="16294570"/>
    <n v="0"/>
    <n v="10864059"/>
    <n v="16294570"/>
    <n v="27158629"/>
    <n v="29.331700000000001"/>
    <n v="14.1416"/>
    <n v="4711.67"/>
    <n v="3475.96"/>
    <n v="13104"/>
    <n v="1287"/>
    <x v="1"/>
    <n v="6"/>
    <n v="51614"/>
    <n v="29.928301422562498"/>
    <n v="5.0315973891249994"/>
  </r>
  <r>
    <s v="istree_exp6_rebuilding_time/step10008.txt"/>
    <s v="brown_ext_ist_lf"/>
    <n v="72"/>
    <s v="reclaimer_debra"/>
    <s v="allocator_new"/>
    <s v="pool_none"/>
    <n v="30000"/>
    <n v="20"/>
    <n v="20"/>
    <n v="0"/>
    <n v="1"/>
    <n v="200000000"/>
    <n v="96"/>
    <x v="2"/>
    <n v="96"/>
    <n v="0"/>
    <s v="insertIfAbsent"/>
    <n v="9998964549238950"/>
    <n v="99991163"/>
    <n v="9998964549238950"/>
    <n v="99991163"/>
    <s v="success"/>
    <n v="7"/>
    <n v="14580007"/>
    <n v="117439736"/>
    <n v="132019743"/>
    <n v="99991163"/>
    <n v="9.0548500000000001"/>
    <n v="0.85142499999999999"/>
    <n v="1.7574000000000001"/>
    <n v="4.0722399999999999"/>
    <n v="3049389072"/>
    <s v="29 109131 4578753 47525399 7997192"/>
    <s v="11 109078 4578557 47525249 7997186"/>
    <n v="152433"/>
    <n v="30200"/>
    <n v="520862907108"/>
    <n v="2873117737507"/>
    <n v="888319639"/>
    <n v="0"/>
    <n v="592208757"/>
    <n v="888319639"/>
    <n v="1480528396"/>
    <n v="29610654"/>
    <n v="0"/>
    <n v="19740291"/>
    <n v="29610654"/>
    <n v="49350946"/>
    <n v="30.468599999999999"/>
    <n v="15.906700000000001"/>
    <n v="5070.03"/>
    <n v="3703.21"/>
    <n v="13769"/>
    <n v="1068"/>
    <x v="1"/>
    <n v="11"/>
    <n v="109078"/>
    <n v="29.928309765697918"/>
    <n v="5.4256552823749997"/>
  </r>
  <r>
    <s v="istree_exp6_rebuilding_time/step10009.txt"/>
    <s v="brown_ext_ist_lf"/>
    <n v="72"/>
    <s v="reclaimer_debra"/>
    <s v="allocator_new"/>
    <s v="pool_none"/>
    <n v="30000"/>
    <n v="20"/>
    <n v="20"/>
    <n v="0"/>
    <n v="1"/>
    <n v="200000000"/>
    <n v="144"/>
    <x v="3"/>
    <n v="144"/>
    <n v="0"/>
    <s v="insertIfAbsent"/>
    <n v="1.00001437105632E+16"/>
    <n v="99995492"/>
    <n v="1.00001437105632E+16"/>
    <n v="99995492"/>
    <s v="success"/>
    <n v="7"/>
    <n v="14001766"/>
    <n v="116146040"/>
    <n v="130147806"/>
    <n v="99995492"/>
    <n v="9.2950999999999997"/>
    <n v="0.86094599999999999"/>
    <n v="1.7683199999999999"/>
    <n v="4.06189"/>
    <n v="2980745968"/>
    <s v="54 159960 5599380 62909924 10843658"/>
    <s v="16 159948 5598994 62909591 10843628"/>
    <n v="320096"/>
    <n v="17770"/>
    <n v="827988600378"/>
    <n v="4309677182814"/>
    <n v="1224156544"/>
    <n v="0"/>
    <n v="816093498"/>
    <n v="1224156544"/>
    <n v="2040250042"/>
    <n v="40805218"/>
    <n v="0"/>
    <n v="27203116"/>
    <n v="40805218"/>
    <n v="68008334"/>
    <n v="31.1523"/>
    <n v="16.998799999999999"/>
    <n v="5381.32"/>
    <n v="3962.28"/>
    <n v="14190"/>
    <n v="1059"/>
    <x v="1"/>
    <n v="16"/>
    <n v="159948"/>
    <n v="29.928313769541667"/>
    <n v="5.7499208359583331"/>
  </r>
  <r>
    <s v="istree_exp6_rebuilding_time/step10010.txt"/>
    <s v="brown_ext_ist_lf"/>
    <n v="72"/>
    <s v="reclaimer_debra"/>
    <s v="allocator_new"/>
    <s v="pool_none"/>
    <n v="30000"/>
    <n v="20"/>
    <n v="20"/>
    <n v="0"/>
    <n v="1"/>
    <n v="200000000"/>
    <n v="190"/>
    <x v="4"/>
    <n v="190"/>
    <n v="0"/>
    <s v="insertIfAbsent"/>
    <n v="9999336492531180"/>
    <n v="99995084"/>
    <n v="9999336492531180"/>
    <n v="99995084"/>
    <s v="success"/>
    <n v="7"/>
    <n v="11292750"/>
    <n v="110560937"/>
    <n v="121853687"/>
    <n v="99995084"/>
    <n v="10.7904"/>
    <n v="0.90443399999999996"/>
    <n v="1.8206199999999999"/>
    <n v="4.0056799999999999"/>
    <n v="2672418288"/>
    <s v="71 199961 6887505 77737892 13321146"/>
    <s v="20 199946 6886828 77737377 13321110"/>
    <n v="513242"/>
    <n v="12714"/>
    <n v="1143311860534"/>
    <n v="5690389524840"/>
    <n v="1501590763"/>
    <n v="0"/>
    <n v="1001090928"/>
    <n v="1501590763"/>
    <n v="2502681691"/>
    <n v="50053025"/>
    <n v="0"/>
    <n v="33369697"/>
    <n v="50053025"/>
    <n v="83422723"/>
    <n v="31.5853"/>
    <n v="17.667000000000002"/>
    <n v="5691.26"/>
    <n v="4202.29"/>
    <n v="14434"/>
    <n v="1166"/>
    <x v="1"/>
    <n v="20"/>
    <n v="199946"/>
    <n v="29.949418551789474"/>
    <n v="6.0174308449157898"/>
  </r>
  <r>
    <s v="istree_exp6_rebuilding_time/step10011.txt"/>
    <s v="brown_ext_ist_lf"/>
    <n v="72"/>
    <s v="reclaimer_debra"/>
    <s v="allocator_new"/>
    <s v="pool_none"/>
    <n v="30000"/>
    <n v="0.5"/>
    <n v="0.5"/>
    <n v="0"/>
    <n v="1"/>
    <n v="2000000"/>
    <n v="24"/>
    <x v="0"/>
    <n v="24"/>
    <n v="0"/>
    <s v="insertIfAbsent"/>
    <n v="1000062202652"/>
    <n v="1000560"/>
    <n v="1000062202652"/>
    <n v="1000560"/>
    <s v="success"/>
    <n v="6"/>
    <n v="83876"/>
    <n v="1138403"/>
    <n v="1222279"/>
    <n v="1000560"/>
    <n v="14.5725"/>
    <n v="0.878915"/>
    <n v="1.8186"/>
    <n v="3.1107499999999999"/>
    <n v="25026208"/>
    <s v="49 42227 611405 688629"/>
    <s v="47 42222 611396 688629"/>
    <n v="3826"/>
    <n v="880734"/>
    <n v="4361150056"/>
    <n v="718279564048"/>
    <n v="2354428325"/>
    <n v="0"/>
    <n v="23790894"/>
    <n v="2354428325"/>
    <n v="2378219219"/>
    <n v="78480944"/>
    <n v="0"/>
    <n v="793029"/>
    <n v="78480944"/>
    <n v="79273973"/>
    <n v="8.6193799999999996"/>
    <n v="9.7589599999999999E-2"/>
    <n v="843.96299999999997"/>
    <n v="278.58699999999999"/>
    <n v="1186"/>
    <n v="26"/>
    <x v="2"/>
    <n v="47"/>
    <n v="42222"/>
    <n v="29.928315168666668"/>
    <n v="0.18171458566666665"/>
  </r>
  <r>
    <s v="istree_exp6_rebuilding_time/step10012.txt"/>
    <s v="brown_ext_ist_lf"/>
    <n v="72"/>
    <s v="reclaimer_debra"/>
    <s v="allocator_new"/>
    <s v="pool_none"/>
    <n v="30000"/>
    <n v="0.5"/>
    <n v="0.5"/>
    <n v="0"/>
    <n v="1"/>
    <n v="2000000"/>
    <n v="48"/>
    <x v="1"/>
    <n v="48"/>
    <n v="0"/>
    <s v="insertIfAbsent"/>
    <n v="998560990067"/>
    <n v="998213"/>
    <n v="998560990067"/>
    <n v="998213"/>
    <s v="success"/>
    <n v="6"/>
    <n v="53586"/>
    <n v="1073068"/>
    <n v="1126654"/>
    <n v="998213"/>
    <n v="21.025200000000002"/>
    <n v="0.93024200000000001"/>
    <n v="1.8859999999999999"/>
    <n v="3.0438200000000002"/>
    <n v="21484448"/>
    <s v="77 72872 693563 1004938"/>
    <s v="73 72864 693535 1004934"/>
    <n v="16119"/>
    <n v="335990"/>
    <n v="10786989618"/>
    <n v="1436559062750"/>
    <n v="3655992778"/>
    <n v="0"/>
    <n v="36924722"/>
    <n v="3655992778"/>
    <n v="3692917500"/>
    <n v="121866425"/>
    <n v="0"/>
    <n v="1230824"/>
    <n v="121866425"/>
    <n v="123097250"/>
    <n v="8.4165500000000009"/>
    <n v="0.110337"/>
    <n v="1079.81"/>
    <n v="384.92500000000001"/>
    <n v="1214"/>
    <n v="28"/>
    <x v="2"/>
    <n v="73"/>
    <n v="72864"/>
    <n v="29.928313807291669"/>
    <n v="0.22472895037499999"/>
  </r>
  <r>
    <s v="istree_exp6_rebuilding_time/step10013.txt"/>
    <s v="brown_ext_ist_lf"/>
    <n v="72"/>
    <s v="reclaimer_debra"/>
    <s v="allocator_new"/>
    <s v="pool_none"/>
    <n v="30000"/>
    <n v="0.5"/>
    <n v="0.5"/>
    <n v="0"/>
    <n v="1"/>
    <n v="2000000"/>
    <n v="96"/>
    <x v="2"/>
    <n v="96"/>
    <n v="0"/>
    <s v="insertIfAbsent"/>
    <n v="1000656464180"/>
    <n v="1000508"/>
    <n v="1000656464180"/>
    <n v="1000508"/>
    <s v="success"/>
    <n v="6"/>
    <n v="67514"/>
    <n v="1102756"/>
    <n v="1170270"/>
    <n v="1000508"/>
    <n v="17.3337"/>
    <n v="0.90727999999999998"/>
    <n v="1.85494"/>
    <n v="3.0731099999999998"/>
    <n v="23090000"/>
    <s v="150 219892 380303 1619665"/>
    <s v="140 219724 380211 1619653"/>
    <n v="86239"/>
    <n v="160748"/>
    <n v="40469325501"/>
    <n v="2873118717808"/>
    <n v="6942515059"/>
    <n v="0"/>
    <n v="70128399"/>
    <n v="6942515059"/>
    <n v="7012643458"/>
    <n v="231417168"/>
    <n v="0"/>
    <n v="2337613"/>
    <n v="231417168"/>
    <n v="233754781"/>
    <n v="8.4520099999999996"/>
    <n v="0.24959899999999999"/>
    <n v="1136.77"/>
    <n v="415.30700000000002"/>
    <n v="1276"/>
    <n v="168"/>
    <x v="2"/>
    <n v="140"/>
    <n v="219724"/>
    <n v="29.928319977166666"/>
    <n v="0.42155547396874998"/>
  </r>
  <r>
    <s v="istree_exp6_rebuilding_time/step10014.txt"/>
    <s v="brown_ext_ist_lf"/>
    <n v="72"/>
    <s v="reclaimer_debra"/>
    <s v="allocator_new"/>
    <s v="pool_none"/>
    <n v="30000"/>
    <n v="0.5"/>
    <n v="0.5"/>
    <n v="0"/>
    <n v="1"/>
    <n v="2000000"/>
    <n v="144"/>
    <x v="3"/>
    <n v="144"/>
    <n v="0"/>
    <s v="insertIfAbsent"/>
    <n v="1000667815926"/>
    <n v="1000317"/>
    <n v="1000667815926"/>
    <n v="1000317"/>
    <s v="success"/>
    <n v="6"/>
    <n v="50573"/>
    <n v="1068027"/>
    <n v="1118600"/>
    <n v="1000317"/>
    <n v="22.118500000000001"/>
    <n v="0.93660299999999996"/>
    <n v="1.8942600000000001"/>
    <n v="3.0363799999999999"/>
    <n v="21149488"/>
    <s v="220 596768 107413 1661767"/>
    <s v="204 596357 107340 1661746"/>
    <n v="207691"/>
    <n v="104984"/>
    <n v="83210424708"/>
    <n v="4309678792188"/>
    <n v="10127525547"/>
    <n v="0"/>
    <n v="102316544"/>
    <n v="10127525547"/>
    <n v="10229842091"/>
    <n v="337584184"/>
    <n v="0"/>
    <n v="3410551"/>
    <n v="337584184"/>
    <n v="340994736"/>
    <n v="8.5656700000000008"/>
    <n v="0.35626200000000002"/>
    <n v="1156.75"/>
    <n v="431.84699999999998"/>
    <n v="1351"/>
    <n v="289"/>
    <x v="2"/>
    <n v="204"/>
    <n v="596357"/>
    <n v="29.928324945750003"/>
    <n v="0.57785017158333341"/>
  </r>
  <r>
    <s v="istree_exp6_rebuilding_time/step10015.txt"/>
    <s v="brown_ext_ist_lf"/>
    <n v="72"/>
    <s v="reclaimer_debra"/>
    <s v="allocator_new"/>
    <s v="pool_none"/>
    <n v="30000"/>
    <n v="0.5"/>
    <n v="0.5"/>
    <n v="0"/>
    <n v="1"/>
    <n v="2000000"/>
    <n v="190"/>
    <x v="4"/>
    <n v="190"/>
    <n v="0"/>
    <s v="insertIfAbsent"/>
    <n v="1000413599946"/>
    <n v="999862"/>
    <n v="1000413599946"/>
    <n v="999862"/>
    <s v="success"/>
    <n v="6"/>
    <n v="54733"/>
    <n v="1075739"/>
    <n v="1130472"/>
    <n v="999862"/>
    <n v="20.654299999999999"/>
    <n v="0.92946499999999999"/>
    <n v="1.88446"/>
    <n v="3.0455100000000002"/>
    <n v="21612992"/>
    <s v="289 609880 295141 2435452"/>
    <s v="259 609329 294930 2435413"/>
    <n v="315048"/>
    <n v="90612"/>
    <n v="117509172328"/>
    <n v="5686382521377"/>
    <n v="12845463130"/>
    <n v="0"/>
    <n v="129757846"/>
    <n v="12845463130"/>
    <n v="12975220976"/>
    <n v="428182104"/>
    <n v="0"/>
    <n v="4325261"/>
    <n v="428182104"/>
    <n v="432507365"/>
    <n v="8.6679499999999994"/>
    <n v="0.41316799999999998"/>
    <n v="1201.72"/>
    <n v="458.39499999999998"/>
    <n v="1423"/>
    <n v="284"/>
    <x v="2"/>
    <n v="259"/>
    <n v="609329"/>
    <n v="29.928329059878944"/>
    <n v="0.6184693280421053"/>
  </r>
  <r>
    <s v="istree_exp6_rebuilding_time/step10016.txt"/>
    <s v="brown_ext_ist_lf"/>
    <n v="72"/>
    <s v="reclaimer_debra"/>
    <s v="allocator_new"/>
    <s v="pool_none"/>
    <n v="30000"/>
    <n v="0.5"/>
    <n v="0.5"/>
    <n v="0"/>
    <n v="1"/>
    <n v="200000000"/>
    <n v="24"/>
    <x v="0"/>
    <n v="24"/>
    <n v="0"/>
    <s v="insertIfAbsent"/>
    <n v="9999972228798670"/>
    <n v="100002847"/>
    <n v="9999972228798670"/>
    <n v="100002847"/>
    <s v="success"/>
    <n v="7"/>
    <n v="12911718"/>
    <n v="113853537"/>
    <n v="126765255"/>
    <n v="100002847"/>
    <n v="9.81785"/>
    <n v="0.87834599999999996"/>
    <n v="1.78888"/>
    <n v="4.0388999999999999"/>
    <n v="2855580960"/>
    <s v="0 0 0 108502 68032"/>
    <s v="0 0 0 108502 68032"/>
    <m/>
    <n v="318396"/>
    <n v="257415660"/>
    <n v="718279743596"/>
    <n v="856778833"/>
    <n v="0"/>
    <n v="8655581"/>
    <n v="856778833"/>
    <n v="865434414"/>
    <n v="28559294"/>
    <n v="0"/>
    <n v="288519"/>
    <n v="28559294"/>
    <n v="28847813"/>
    <n v="18.7988"/>
    <n v="8.2041599999999999"/>
    <n v="2319.6"/>
    <n v="1734.64"/>
    <n v="7280"/>
    <n v="1536"/>
    <x v="3"/>
    <n v="0"/>
    <n v="0"/>
    <n v="29.928322649833333"/>
    <n v="1.07256525E-2"/>
  </r>
  <r>
    <s v="istree_exp6_rebuilding_time/step10017.txt"/>
    <s v="brown_ext_ist_lf"/>
    <n v="72"/>
    <s v="reclaimer_debra"/>
    <s v="allocator_new"/>
    <s v="pool_none"/>
    <n v="30000"/>
    <n v="0.5"/>
    <n v="0.5"/>
    <n v="0"/>
    <n v="1"/>
    <n v="200000000"/>
    <n v="48"/>
    <x v="1"/>
    <n v="48"/>
    <n v="0"/>
    <s v="insertIfAbsent"/>
    <n v="9999692431455050"/>
    <n v="100000461"/>
    <n v="9999692431455050"/>
    <n v="100000461"/>
    <s v="success"/>
    <n v="7"/>
    <n v="13893421"/>
    <n v="115911981"/>
    <n v="129805402"/>
    <n v="100000461"/>
    <n v="9.3429400000000005"/>
    <n v="0.86272800000000005"/>
    <n v="1.7703899999999999"/>
    <n v="4.0595600000000003"/>
    <n v="2968186272"/>
    <s v="0 0 1 449958 166795"/>
    <s v="0 0 1 449958 166795"/>
    <m/>
    <n v="136876"/>
    <n v="1239720027"/>
    <n v="1436559528181"/>
    <n v="1501747950"/>
    <n v="0"/>
    <n v="15171731"/>
    <n v="1501747950"/>
    <n v="1516919681"/>
    <n v="50058265"/>
    <n v="0"/>
    <n v="505724"/>
    <n v="50058265"/>
    <n v="50563989"/>
    <n v="18.890899999999998"/>
    <n v="8.2880400000000005"/>
    <n v="2643.71"/>
    <n v="1962.94"/>
    <n v="7479"/>
    <n v="1307"/>
    <x v="3"/>
    <n v="0"/>
    <n v="0"/>
    <n v="29.92832350377083"/>
    <n v="2.5827500562499998E-2"/>
  </r>
  <r>
    <s v="istree_exp6_rebuilding_time/step10018.txt"/>
    <s v="brown_ext_ist_lf"/>
    <n v="72"/>
    <s v="reclaimer_debra"/>
    <s v="allocator_new"/>
    <s v="pool_none"/>
    <n v="30000"/>
    <n v="0.5"/>
    <n v="0.5"/>
    <n v="0"/>
    <n v="1"/>
    <n v="200000000"/>
    <n v="96"/>
    <x v="2"/>
    <n v="96"/>
    <n v="0"/>
    <s v="insertIfAbsent"/>
    <n v="9999770377891520"/>
    <n v="100004646"/>
    <n v="9999770377891520"/>
    <n v="100004646"/>
    <s v="success"/>
    <n v="7"/>
    <n v="14933326"/>
    <n v="118232647"/>
    <n v="133165973"/>
    <n v="100004646"/>
    <n v="8.91737"/>
    <n v="0.84582900000000005"/>
    <n v="1.75098"/>
    <n v="4.0819200000000002"/>
    <n v="3090561312"/>
    <s v="0 0 15608 2057392 426041"/>
    <s v="0 0 15608 2057392 426041"/>
    <m/>
    <n v="67794"/>
    <n v="5761296590"/>
    <n v="2873119671865"/>
    <n v="3005045116"/>
    <n v="0"/>
    <n v="30347743"/>
    <n v="3005045116"/>
    <n v="3035392859"/>
    <n v="100168170"/>
    <n v="0"/>
    <n v="1011591"/>
    <n v="100168170"/>
    <n v="101179761"/>
    <n v="19.219899999999999"/>
    <n v="9.1577400000000004"/>
    <n v="2640.19"/>
    <n v="1913.92"/>
    <n v="7907"/>
    <n v="1084"/>
    <x v="3"/>
    <n v="0"/>
    <n v="0"/>
    <n v="29.928329915260417"/>
    <n v="6.0013506145833333E-2"/>
  </r>
  <r>
    <s v="istree_exp6_rebuilding_time/step10019.txt"/>
    <s v="brown_ext_ist_lf"/>
    <n v="72"/>
    <s v="reclaimer_debra"/>
    <s v="allocator_new"/>
    <s v="pool_none"/>
    <n v="30000"/>
    <n v="0.5"/>
    <n v="0.5"/>
    <n v="0"/>
    <n v="1"/>
    <n v="200000000"/>
    <n v="144"/>
    <x v="3"/>
    <n v="144"/>
    <n v="0"/>
    <s v="insertIfAbsent"/>
    <n v="9998886901760700"/>
    <n v="99990020"/>
    <n v="9998886901760700"/>
    <n v="99990020"/>
    <s v="success"/>
    <n v="7"/>
    <n v="13693006"/>
    <n v="115540909"/>
    <n v="129233915"/>
    <n v="99990020"/>
    <n v="9.4379500000000007"/>
    <n v="0.86540799999999996"/>
    <n v="1.7737099999999999"/>
    <n v="4.0533000000000001"/>
    <n v="2946947168"/>
    <s v="0 2400 307744 3767151 631191"/>
    <s v="0 2400 307741 3767150 631191"/>
    <n v="480"/>
    <n v="43460"/>
    <n v="19584179554"/>
    <n v="4309938133839"/>
    <n v="4411844767"/>
    <n v="0"/>
    <n v="44562235"/>
    <n v="4411844767"/>
    <n v="4456407002"/>
    <n v="147061492"/>
    <n v="0"/>
    <n v="1485407"/>
    <n v="147061492"/>
    <n v="148546900"/>
    <n v="19.381399999999999"/>
    <n v="9.4764800000000005"/>
    <n v="2691.11"/>
    <n v="1946.42"/>
    <n v="8892"/>
    <n v="1105"/>
    <x v="3"/>
    <n v="0"/>
    <n v="2400"/>
    <n v="29.930125929437501"/>
    <n v="0.13600124690277776"/>
  </r>
  <r>
    <s v="istree_exp6_rebuilding_time/step10020.txt"/>
    <s v="brown_ext_ist_lf"/>
    <n v="72"/>
    <s v="reclaimer_debra"/>
    <s v="allocator_new"/>
    <s v="pool_none"/>
    <n v="30000"/>
    <n v="0.5"/>
    <n v="0.5"/>
    <n v="0"/>
    <n v="1"/>
    <n v="200000000"/>
    <n v="190"/>
    <x v="4"/>
    <n v="190"/>
    <n v="0"/>
    <s v="insertIfAbsent"/>
    <n v="1.00009694966803E+16"/>
    <n v="100004257"/>
    <n v="1.00009694966803E+16"/>
    <n v="100004257"/>
    <s v="success"/>
    <n v="7"/>
    <n v="12627822"/>
    <n v="113272646"/>
    <n v="125900468"/>
    <n v="100004257"/>
    <n v="9.9700900000000008"/>
    <n v="0.88286299999999995"/>
    <n v="1.7943100000000001"/>
    <n v="4.0329800000000002"/>
    <n v="2823288368"/>
    <s v="1 10000 344301 3953670 715593"/>
    <s v="1 10000 344299 3953667 715593"/>
    <n v="4400"/>
    <n v="32932"/>
    <n v="119114364454"/>
    <n v="5686579160303"/>
    <n v="5657610661"/>
    <n v="0"/>
    <n v="57146668"/>
    <n v="5657610661"/>
    <n v="5714757329"/>
    <n v="188587022"/>
    <n v="0"/>
    <n v="1904888"/>
    <n v="188587022"/>
    <n v="190491910"/>
    <n v="19.436599999999999"/>
    <n v="9.5742200000000004"/>
    <n v="2718.92"/>
    <n v="1974.11"/>
    <n v="13348"/>
    <n v="1070"/>
    <x v="3"/>
    <n v="1"/>
    <n v="10000"/>
    <n v="29.929364001594738"/>
    <n v="0.62691770765263155"/>
  </r>
  <r>
    <s v="istree_exp6_rebuilding_time/step10021.txt"/>
    <s v="brown_ext_ist_lf"/>
    <n v="72"/>
    <s v="reclaimer_debra"/>
    <s v="allocator_new"/>
    <s v="pool_none"/>
    <n v="30000"/>
    <n v="20"/>
    <n v="20"/>
    <n v="0"/>
    <n v="1"/>
    <n v="2000000"/>
    <n v="24"/>
    <x v="0"/>
    <n v="24"/>
    <n v="0"/>
    <s v="insertIfAbsent"/>
    <n v="998945716957"/>
    <n v="999302"/>
    <n v="998945716957"/>
    <n v="999302"/>
    <s v="success"/>
    <n v="6"/>
    <n v="60378"/>
    <n v="1087038"/>
    <n v="1147416"/>
    <n v="999302"/>
    <n v="19.003900000000002"/>
    <n v="0.91928900000000002"/>
    <n v="1.8709199999999999"/>
    <n v="3.0572300000000001"/>
    <n v="22249360"/>
    <s v="2081 943366 13556988 15182461"/>
    <s v="1049 939842 13553404 15182139"/>
    <n v="430042"/>
    <n v="532958"/>
    <n v="89822416977"/>
    <n v="718280026800"/>
    <n v="786946733"/>
    <n v="0"/>
    <n v="524623402"/>
    <n v="786946733"/>
    <n v="1311570135"/>
    <n v="26231557"/>
    <n v="0"/>
    <n v="17487446"/>
    <n v="26231557"/>
    <n v="43719004"/>
    <n v="15.7684"/>
    <n v="1.0445"/>
    <n v="1529.8"/>
    <n v="605.69799999999998"/>
    <n v="1215"/>
    <n v="24"/>
    <x v="0"/>
    <n v="1049"/>
    <n v="939842"/>
    <n v="29.928334449999998"/>
    <n v="3.7426007073750003"/>
  </r>
  <r>
    <s v="istree_exp6_rebuilding_time/step10022.txt"/>
    <s v="brown_ext_ist_lf"/>
    <n v="72"/>
    <s v="reclaimer_debra"/>
    <s v="allocator_new"/>
    <s v="pool_none"/>
    <n v="30000"/>
    <n v="20"/>
    <n v="20"/>
    <n v="0"/>
    <n v="1"/>
    <n v="2000000"/>
    <n v="48"/>
    <x v="1"/>
    <n v="48"/>
    <n v="0"/>
    <s v="insertIfAbsent"/>
    <n v="999526392529"/>
    <n v="999751"/>
    <n v="999526392529"/>
    <n v="999751"/>
    <s v="success"/>
    <n v="7"/>
    <n v="69109"/>
    <n v="1106829"/>
    <n v="1175938"/>
    <n v="999751"/>
    <n v="17.015699999999999"/>
    <n v="0.90325699999999998"/>
    <n v="1.8501700000000001"/>
    <n v="3.0785200000000001"/>
    <n v="23307536"/>
    <s v="3980 1471280 13957995 20260487"/>
    <s v="1489 1468141 13947056 20259533"/>
    <n v="1714807"/>
    <n v="192024"/>
    <n v="223720152231"/>
    <n v="1436560326442"/>
    <n v="1117219413"/>
    <n v="0"/>
    <n v="744793279"/>
    <n v="1117219413"/>
    <n v="1862012692"/>
    <n v="37240647"/>
    <n v="0"/>
    <n v="24826442"/>
    <n v="37240647"/>
    <n v="62067089"/>
    <n v="16.210999999999999"/>
    <n v="1.5411999999999999"/>
    <n v="2107.1799999999998"/>
    <n v="992.72500000000002"/>
    <n v="1267"/>
    <n v="31"/>
    <x v="0"/>
    <n v="1489"/>
    <n v="1468141"/>
    <n v="29.92834013420833"/>
    <n v="4.6608365048125"/>
  </r>
  <r>
    <s v="istree_exp6_rebuilding_time/step10023.txt"/>
    <s v="brown_ext_ist_lf"/>
    <n v="72"/>
    <s v="reclaimer_debra"/>
    <s v="allocator_new"/>
    <s v="pool_none"/>
    <n v="30000"/>
    <n v="20"/>
    <n v="20"/>
    <n v="0"/>
    <n v="1"/>
    <n v="2000000"/>
    <n v="96"/>
    <x v="2"/>
    <n v="96"/>
    <n v="0"/>
    <s v="insertIfAbsent"/>
    <n v="999523752146"/>
    <n v="999754"/>
    <n v="999523752146"/>
    <n v="999754"/>
    <s v="success"/>
    <n v="6"/>
    <n v="50041"/>
    <n v="1066162"/>
    <n v="1116203"/>
    <n v="999754"/>
    <n v="22.305800000000001"/>
    <n v="0.93771300000000002"/>
    <n v="1.89567"/>
    <n v="3.0349900000000001"/>
    <n v="21071536"/>
    <s v="5147 2878392 4989830 21174278"/>
    <s v="1833 2851068 4973996 21172192"/>
    <n v="7214114"/>
    <n v="64196"/>
    <n v="666083669741"/>
    <n v="2873120474341"/>
    <n v="1374120588"/>
    <n v="0"/>
    <n v="916087144"/>
    <n v="1374120588"/>
    <n v="2290207732"/>
    <n v="45804019"/>
    <n v="0"/>
    <n v="30536238"/>
    <n v="45804019"/>
    <n v="76340257"/>
    <n v="19.485700000000001"/>
    <n v="6.1402700000000001"/>
    <n v="3499.18"/>
    <n v="2338.1"/>
    <n v="1385"/>
    <n v="127"/>
    <x v="0"/>
    <n v="1833"/>
    <n v="2851068"/>
    <n v="29.928338274385414"/>
    <n v="6.938371559802083"/>
  </r>
  <r>
    <s v="istree_exp6_rebuilding_time/step10024.txt"/>
    <s v="brown_ext_ist_lf"/>
    <n v="72"/>
    <s v="reclaimer_debra"/>
    <s v="allocator_new"/>
    <s v="pool_none"/>
    <n v="30000"/>
    <n v="20"/>
    <n v="20"/>
    <n v="0"/>
    <n v="1"/>
    <n v="2000000"/>
    <n v="144"/>
    <x v="3"/>
    <n v="144"/>
    <n v="0"/>
    <s v="insertIfAbsent"/>
    <n v="1000525046476"/>
    <n v="1000318"/>
    <n v="1000525046476"/>
    <n v="1000318"/>
    <s v="success"/>
    <n v="6"/>
    <n v="52126"/>
    <n v="1071011"/>
    <n v="1123137"/>
    <n v="1000318"/>
    <n v="21.546600000000002"/>
    <n v="0.93399399999999999"/>
    <n v="1.8906499999999999"/>
    <n v="3.0396100000000001"/>
    <n v="21321696"/>
    <s v="5902 5918036 1065468 16459221"/>
    <s v="2027 5868252 1057664 16456629"/>
    <n v="18016616"/>
    <n v="32132"/>
    <n v="1324065873293"/>
    <n v="4309683436688"/>
    <n v="1519469771"/>
    <n v="0"/>
    <n v="1012948674"/>
    <n v="1519469771"/>
    <n v="2532418445"/>
    <n v="50648992"/>
    <n v="0"/>
    <n v="33764955"/>
    <n v="50648992"/>
    <n v="84413948"/>
    <n v="24.404699999999998"/>
    <n v="10.6334"/>
    <n v="4748.4799999999996"/>
    <n v="3449.3"/>
    <n v="1578"/>
    <n v="322"/>
    <x v="0"/>
    <n v="2027"/>
    <n v="5868252"/>
    <n v="29.928357199222223"/>
    <n v="9.194901897868057"/>
  </r>
  <r>
    <s v="istree_exp6_rebuilding_time/step10025.txt"/>
    <s v="brown_ext_ist_lf"/>
    <n v="72"/>
    <s v="reclaimer_debra"/>
    <s v="allocator_new"/>
    <s v="pool_none"/>
    <n v="30000"/>
    <n v="20"/>
    <n v="20"/>
    <n v="0"/>
    <n v="1"/>
    <n v="2000000"/>
    <n v="190"/>
    <x v="4"/>
    <n v="190"/>
    <n v="0"/>
    <s v="insertIfAbsent"/>
    <n v="1000146015992"/>
    <n v="999775"/>
    <n v="1000146015992"/>
    <n v="999775"/>
    <s v="success"/>
    <n v="6"/>
    <n v="34445"/>
    <n v="1034669"/>
    <n v="1069114"/>
    <n v="999775"/>
    <n v="31.0383"/>
    <n v="0.966275"/>
    <n v="1.9351400000000001"/>
    <n v="3.0028899999999998"/>
    <n v="19310368"/>
    <s v="7039 5465689 2660035 21790836"/>
    <s v="2325 5406915 2640738 21786755"/>
    <n v="24602084"/>
    <n v="20914"/>
    <n v="1783375384602"/>
    <n v="5686385184340"/>
    <n v="1741884255"/>
    <n v="0"/>
    <n v="1161264179"/>
    <n v="1741884255"/>
    <n v="2903148434"/>
    <n v="58062808"/>
    <n v="0"/>
    <n v="38708805"/>
    <n v="58062808"/>
    <n v="96771614"/>
    <n v="25.048200000000001"/>
    <n v="11.9564"/>
    <n v="5460.77"/>
    <n v="4158.99"/>
    <n v="1808"/>
    <n v="328"/>
    <x v="0"/>
    <n v="2325"/>
    <n v="5406915"/>
    <n v="29.928343075473684"/>
    <n v="9.3861862347473686"/>
  </r>
  <r>
    <s v="istree_exp6_rebuilding_time/step10026.txt"/>
    <s v="brown_ext_ist_lf"/>
    <n v="72"/>
    <s v="reclaimer_debra"/>
    <s v="allocator_new"/>
    <s v="pool_none"/>
    <n v="30000"/>
    <n v="20"/>
    <n v="20"/>
    <n v="0"/>
    <n v="1"/>
    <n v="200000000"/>
    <n v="24"/>
    <x v="0"/>
    <n v="24"/>
    <n v="0"/>
    <s v="insertIfAbsent"/>
    <n v="1.00001581681397E+16"/>
    <n v="100002099"/>
    <n v="1.00001581681397E+16"/>
    <n v="100002099"/>
    <s v="success"/>
    <n v="7"/>
    <n v="11011115"/>
    <n v="110003117"/>
    <n v="121014232"/>
    <n v="100002099"/>
    <n v="10.9902"/>
    <n v="0.909084"/>
    <n v="1.82637"/>
    <n v="4"/>
    <n v="2640939056"/>
    <s v="4 25494 1988705 16866571 2766165"/>
    <s v="4 25460 1988685 16866562 2766165"/>
    <n v="7434"/>
    <n v="183438"/>
    <n v="109491203672"/>
    <n v="718567949523"/>
    <n v="300010453"/>
    <n v="0"/>
    <n v="199989026"/>
    <n v="300010453"/>
    <n v="499999479"/>
    <n v="10000348"/>
    <n v="0"/>
    <n v="6666300"/>
    <n v="10000348"/>
    <n v="16666649"/>
    <n v="27.966799999999999"/>
    <n v="13.6622"/>
    <n v="3885.94"/>
    <n v="2838.67"/>
    <n v="12592"/>
    <n v="1528"/>
    <x v="1"/>
    <n v="4"/>
    <n v="25460"/>
    <n v="29.940331230125"/>
    <n v="4.5621334863333329"/>
  </r>
  <r>
    <s v="istree_exp6_rebuilding_time/step10027.txt"/>
    <s v="brown_ext_ist_lf"/>
    <n v="72"/>
    <s v="reclaimer_debra"/>
    <s v="allocator_new"/>
    <s v="pool_none"/>
    <n v="30000"/>
    <n v="20"/>
    <n v="20"/>
    <n v="0"/>
    <n v="1"/>
    <n v="200000000"/>
    <n v="48"/>
    <x v="1"/>
    <n v="48"/>
    <n v="0"/>
    <s v="insertIfAbsent"/>
    <n v="1.00000489110667E+16"/>
    <n v="100002955"/>
    <n v="1.00000489110667E+16"/>
    <n v="100002955"/>
    <s v="success"/>
    <n v="7"/>
    <n v="14724637"/>
    <n v="117742524"/>
    <n v="132467161"/>
    <n v="100002955"/>
    <n v="8.9962900000000001"/>
    <n v="0.84933599999999998"/>
    <n v="1.7549300000000001"/>
    <n v="4.0774499999999998"/>
    <n v="3065470160"/>
    <s v="11 51696 2820641 26328206 4447989"/>
    <s v="6 51614 2820589 26328165 4447986"/>
    <n v="31923"/>
    <n v="69338"/>
    <n v="242288971610"/>
    <n v="1436562748651"/>
    <n v="487201376"/>
    <n v="0"/>
    <n v="324821154"/>
    <n v="487201376"/>
    <n v="812022530"/>
    <n v="16240045"/>
    <n v="0"/>
    <n v="10827371"/>
    <n v="16240045"/>
    <n v="27067417"/>
    <n v="29.362500000000001"/>
    <n v="14.1593"/>
    <n v="4727.46"/>
    <n v="3482.18"/>
    <n v="13186"/>
    <n v="1306"/>
    <x v="1"/>
    <n v="6"/>
    <n v="51614"/>
    <n v="29.928390596895834"/>
    <n v="5.0476869085416665"/>
  </r>
  <r>
    <s v="istree_exp6_rebuilding_time/step10028.txt"/>
    <s v="brown_ext_ist_lf"/>
    <n v="72"/>
    <s v="reclaimer_debra"/>
    <s v="allocator_new"/>
    <s v="pool_none"/>
    <n v="30000"/>
    <n v="20"/>
    <n v="20"/>
    <n v="0"/>
    <n v="1"/>
    <n v="200000000"/>
    <n v="96"/>
    <x v="2"/>
    <n v="96"/>
    <n v="0"/>
    <s v="insertIfAbsent"/>
    <n v="1.00005340716121E+16"/>
    <n v="100005589"/>
    <n v="1.00005340716121E+16"/>
    <n v="100005589"/>
    <s v="success"/>
    <n v="7"/>
    <n v="14525500"/>
    <n v="117330324"/>
    <n v="131855824"/>
    <n v="100005589"/>
    <n v="9.0775400000000008"/>
    <n v="0.85234200000000004"/>
    <n v="1.7584500000000001"/>
    <n v="4.0708500000000001"/>
    <n v="3043197728"/>
    <s v="34 109108 4598296 47592535 8004255"/>
    <s v="11 109045 4598084 47592395 8004243"/>
    <n v="154558"/>
    <n v="30340"/>
    <n v="521851349893"/>
    <n v="2873123230677"/>
    <n v="889268932"/>
    <n v="0"/>
    <n v="592881814"/>
    <n v="889268932"/>
    <n v="1482150746"/>
    <n v="29642297"/>
    <n v="0"/>
    <n v="19762727"/>
    <n v="29642297"/>
    <n v="49405024"/>
    <n v="30.491399999999999"/>
    <n v="15.9055"/>
    <n v="5065.3"/>
    <n v="3706.17"/>
    <n v="13758"/>
    <n v="1067"/>
    <x v="1"/>
    <n v="11"/>
    <n v="109045"/>
    <n v="29.928366986218748"/>
    <n v="5.4359515613854166"/>
  </r>
  <r>
    <s v="istree_exp6_rebuilding_time/step10029.txt"/>
    <s v="brown_ext_ist_lf"/>
    <n v="72"/>
    <s v="reclaimer_debra"/>
    <s v="allocator_new"/>
    <s v="pool_none"/>
    <n v="30000"/>
    <n v="20"/>
    <n v="20"/>
    <n v="0"/>
    <n v="1"/>
    <n v="200000000"/>
    <n v="144"/>
    <x v="3"/>
    <n v="144"/>
    <n v="0"/>
    <s v="insertIfAbsent"/>
    <n v="1.00016543298819E+16"/>
    <n v="100014654"/>
    <n v="1.00016543298819E+16"/>
    <n v="100014654"/>
    <s v="success"/>
    <n v="7"/>
    <n v="14587413"/>
    <n v="117329974"/>
    <n v="131917387"/>
    <n v="100014654"/>
    <n v="9.0432299999999994"/>
    <n v="0.85242200000000001"/>
    <n v="1.7581599999999999"/>
    <n v="4.0726300000000002"/>
    <n v="3047387664"/>
    <s v="54 159965 5546275 63402721 10953986"/>
    <s v="16 159951 5545869 63402417 10953965"/>
    <n v="324988"/>
    <n v="17938"/>
    <n v="826977834045"/>
    <n v="4309681982375"/>
    <n v="1232088759"/>
    <n v="0"/>
    <n v="821400560"/>
    <n v="1232088759"/>
    <n v="2053489319"/>
    <n v="41069625"/>
    <n v="0"/>
    <n v="27380018"/>
    <n v="41069625"/>
    <n v="68449643"/>
    <n v="31.057500000000001"/>
    <n v="16.964099999999998"/>
    <n v="5358.45"/>
    <n v="3952.74"/>
    <n v="14172"/>
    <n v="1064"/>
    <x v="1"/>
    <n v="16"/>
    <n v="159951"/>
    <n v="29.928347099826389"/>
    <n v="5.7429016253125003"/>
  </r>
  <r>
    <s v="istree_exp6_rebuilding_time/step10030.txt"/>
    <s v="brown_ext_ist_lf"/>
    <n v="72"/>
    <s v="reclaimer_debra"/>
    <s v="allocator_new"/>
    <s v="pool_none"/>
    <n v="30000"/>
    <n v="20"/>
    <n v="20"/>
    <n v="0"/>
    <n v="1"/>
    <n v="200000000"/>
    <n v="190"/>
    <x v="4"/>
    <n v="190"/>
    <n v="0"/>
    <s v="insertIfAbsent"/>
    <n v="1.00006427214613E+16"/>
    <n v="100004649"/>
    <n v="1.00006427214613E+16"/>
    <n v="100004649"/>
    <s v="success"/>
    <n v="7"/>
    <n v="11084385"/>
    <n v="110152358"/>
    <n v="121236743"/>
    <n v="100004649"/>
    <n v="10.9376"/>
    <n v="0.90787600000000002"/>
    <n v="1.82487"/>
    <n v="4.0014700000000003"/>
    <n v="2649190384"/>
    <s v="77 199970 6884207 77736796 13311064"/>
    <s v="20 199953 6883558 77736277 13311033"/>
    <n v="517089"/>
    <n v="12786"/>
    <n v="1140147693626"/>
    <n v="5693091741835"/>
    <n v="1500630346"/>
    <n v="0"/>
    <n v="1000430592"/>
    <n v="1500630346"/>
    <n v="2501060938"/>
    <n v="50021011"/>
    <n v="0"/>
    <n v="33347686"/>
    <n v="50021011"/>
    <n v="83368697"/>
    <n v="31.565300000000001"/>
    <n v="17.658300000000001"/>
    <n v="5703.42"/>
    <n v="4207.79"/>
    <n v="14412"/>
    <n v="1143"/>
    <x v="1"/>
    <n v="20"/>
    <n v="199953"/>
    <n v="29.963640746500001"/>
    <n v="6.0007773348736846"/>
  </r>
  <r>
    <s v="istree_exp6_rebuilding_time/step10031.txt"/>
    <s v="brown_ext_ist_lf"/>
    <n v="72"/>
    <s v="reclaimer_debra"/>
    <s v="allocator_new"/>
    <s v="pool_none"/>
    <n v="30000"/>
    <n v="0.5"/>
    <n v="0.5"/>
    <n v="0"/>
    <n v="1"/>
    <n v="2000000"/>
    <n v="24"/>
    <x v="0"/>
    <n v="24"/>
    <n v="0"/>
    <s v="insertIfAbsent"/>
    <n v="1001477319582"/>
    <n v="1001637"/>
    <n v="1001477319582"/>
    <n v="1001637"/>
    <s v="success"/>
    <n v="6"/>
    <n v="83688"/>
    <n v="1138006"/>
    <n v="1221694"/>
    <n v="1001637"/>
    <n v="14.5982"/>
    <n v="0.88016799999999995"/>
    <n v="1.8198799999999999"/>
    <n v="3.1097800000000002"/>
    <n v="24997152"/>
    <s v="49 42242 610604 688313"/>
    <s v="47 42238 610600 688313"/>
    <n v="3666"/>
    <n v="881254"/>
    <n v="4385817972"/>
    <n v="718280249411"/>
    <n v="2355636915"/>
    <n v="0"/>
    <n v="23794270"/>
    <n v="2355636915"/>
    <n v="2379431185"/>
    <n v="78521230"/>
    <n v="0"/>
    <n v="793142"/>
    <n v="78521230"/>
    <n v="79314372"/>
    <n v="8.6137700000000006"/>
    <n v="0.101909"/>
    <n v="843.00300000000004"/>
    <n v="279.858"/>
    <n v="1186"/>
    <n v="27"/>
    <x v="2"/>
    <n v="47"/>
    <n v="42238"/>
    <n v="29.928343725458333"/>
    <n v="0.18274241550000001"/>
  </r>
  <r>
    <s v="istree_exp6_rebuilding_time/step10032.txt"/>
    <s v="brown_ext_ist_lf"/>
    <n v="72"/>
    <s v="reclaimer_debra"/>
    <s v="allocator_new"/>
    <s v="pool_none"/>
    <n v="30000"/>
    <n v="0.5"/>
    <n v="0.5"/>
    <n v="0"/>
    <n v="1"/>
    <n v="2000000"/>
    <n v="48"/>
    <x v="1"/>
    <n v="48"/>
    <n v="0"/>
    <s v="insertIfAbsent"/>
    <n v="1000040947126"/>
    <n v="999825"/>
    <n v="1000040947126"/>
    <n v="999825"/>
    <s v="success"/>
    <n v="6"/>
    <n v="80815"/>
    <n v="1131780"/>
    <n v="1212595"/>
    <n v="999825"/>
    <n v="15.0046"/>
    <n v="0.883409"/>
    <n v="1.82453"/>
    <n v="3.1044299999999998"/>
    <n v="24671552"/>
    <s v="78 72113 688373 1003207"/>
    <s v="73 72106 688343 1003201"/>
    <n v="16719"/>
    <n v="335120"/>
    <n v="10764473317"/>
    <n v="1436560503589"/>
    <n v="3645232293"/>
    <n v="0"/>
    <n v="36820131"/>
    <n v="3645232293"/>
    <n v="3682052424"/>
    <n v="121507743"/>
    <n v="0"/>
    <n v="1227337"/>
    <n v="121507743"/>
    <n v="122735080"/>
    <n v="8.4222599999999996"/>
    <n v="0.107781"/>
    <n v="1083.04"/>
    <n v="386.53"/>
    <n v="1215"/>
    <n v="32"/>
    <x v="2"/>
    <n v="73"/>
    <n v="72106"/>
    <n v="29.928343824770835"/>
    <n v="0.22425986077083335"/>
  </r>
  <r>
    <s v="istree_exp6_rebuilding_time/step10033.txt"/>
    <s v="brown_ext_ist_lf"/>
    <n v="72"/>
    <s v="reclaimer_debra"/>
    <s v="allocator_new"/>
    <s v="pool_none"/>
    <n v="30000"/>
    <n v="0.5"/>
    <n v="0.5"/>
    <n v="0"/>
    <n v="1"/>
    <n v="2000000"/>
    <n v="96"/>
    <x v="2"/>
    <n v="96"/>
    <n v="0"/>
    <s v="insertIfAbsent"/>
    <n v="1000944647472"/>
    <n v="1000934"/>
    <n v="1000944647472"/>
    <n v="1000934"/>
    <s v="success"/>
    <n v="6"/>
    <n v="50782"/>
    <n v="1068632"/>
    <n v="1119414"/>
    <n v="1000934"/>
    <n v="22.043500000000002"/>
    <n v="0.93664999999999998"/>
    <n v="1.8941600000000001"/>
    <n v="3.0364499999999999"/>
    <n v="21171200"/>
    <s v="155 221404 382659 1628125"/>
    <s v="141 221207 382557 1628117"/>
    <n v="85959"/>
    <n v="161586"/>
    <n v="40704941120"/>
    <n v="2873121167337"/>
    <n v="6983375806"/>
    <n v="0"/>
    <n v="70520066"/>
    <n v="6983375806"/>
    <n v="7053895872"/>
    <n v="232779193"/>
    <n v="0"/>
    <n v="2350668"/>
    <n v="232779193"/>
    <n v="235129862"/>
    <n v="8.4478100000000005"/>
    <n v="0.24585199999999999"/>
    <n v="1129.9000000000001"/>
    <n v="413.19299999999998"/>
    <n v="1276"/>
    <n v="166"/>
    <x v="2"/>
    <n v="141"/>
    <n v="221207"/>
    <n v="29.928345493093747"/>
    <n v="0.42400980333333332"/>
  </r>
  <r>
    <s v="istree_exp6_rebuilding_time/step10034.txt"/>
    <s v="brown_ext_ist_lf"/>
    <n v="72"/>
    <s v="reclaimer_debra"/>
    <s v="allocator_new"/>
    <s v="pool_none"/>
    <n v="30000"/>
    <n v="0.5"/>
    <n v="0.5"/>
    <n v="0"/>
    <n v="1"/>
    <n v="2000000"/>
    <n v="144"/>
    <x v="3"/>
    <n v="144"/>
    <n v="0"/>
    <s v="insertIfAbsent"/>
    <n v="999632532326"/>
    <n v="999318"/>
    <n v="999632532326"/>
    <n v="999318"/>
    <s v="success"/>
    <n v="6"/>
    <n v="51272"/>
    <n v="1068252"/>
    <n v="1119524"/>
    <n v="999318"/>
    <n v="21.835000000000001"/>
    <n v="0.93547000000000002"/>
    <n v="1.89263"/>
    <n v="3.0379900000000002"/>
    <n v="21208992"/>
    <s v="225 592715 106764 1652020"/>
    <s v="203 592290 106709 1651996"/>
    <n v="209628"/>
    <n v="104310"/>
    <n v="82995376981"/>
    <n v="4309682336944"/>
    <n v="10067432173"/>
    <n v="0"/>
    <n v="101682229"/>
    <n v="10067432173"/>
    <n v="10169114402"/>
    <n v="335581072"/>
    <n v="0"/>
    <n v="3389407"/>
    <n v="335581072"/>
    <n v="338970480"/>
    <n v="8.5645500000000006"/>
    <n v="0.35661300000000001"/>
    <n v="1161.3599999999999"/>
    <n v="430.83"/>
    <n v="1347"/>
    <n v="269"/>
    <x v="2"/>
    <n v="203"/>
    <n v="592290"/>
    <n v="29.928349562111109"/>
    <n v="0.57635678459027784"/>
  </r>
  <r>
    <s v="istree_exp6_rebuilding_time/step10035.txt"/>
    <s v="brown_ext_ist_lf"/>
    <n v="72"/>
    <s v="reclaimer_debra"/>
    <s v="allocator_new"/>
    <s v="pool_none"/>
    <n v="30000"/>
    <n v="0.5"/>
    <n v="0.5"/>
    <n v="0"/>
    <n v="1"/>
    <n v="2000000"/>
    <n v="190"/>
    <x v="4"/>
    <n v="190"/>
    <n v="0"/>
    <s v="insertIfAbsent"/>
    <n v="1000577463439"/>
    <n v="1000167"/>
    <n v="1000577463439"/>
    <n v="1000167"/>
    <s v="success"/>
    <n v="6"/>
    <n v="54556"/>
    <n v="1075715"/>
    <n v="1130271"/>
    <n v="1000167"/>
    <n v="20.717600000000001"/>
    <n v="0.92976999999999999"/>
    <n v="1.88489"/>
    <n v="3.0450200000000001"/>
    <n v="21596944"/>
    <s v="296 614265 299145 2454456"/>
    <s v="261 613685 298933 2454412"/>
    <n v="316560"/>
    <n v="91244"/>
    <n v="118387313946"/>
    <n v="5686387027723"/>
    <n v="12948445771"/>
    <n v="0"/>
    <n v="130787092"/>
    <n v="12948445771"/>
    <n v="13079232863"/>
    <n v="431614859"/>
    <n v="0"/>
    <n v="4359569"/>
    <n v="431614859"/>
    <n v="435974428"/>
    <n v="8.6744900000000005"/>
    <n v="0.41315000000000002"/>
    <n v="1192.75"/>
    <n v="456.24200000000002"/>
    <n v="1424"/>
    <n v="257"/>
    <x v="2"/>
    <n v="261"/>
    <n v="613685"/>
    <n v="29.928352777489472"/>
    <n v="0.62309112603157901"/>
  </r>
  <r>
    <s v="istree_exp6_rebuilding_time/step10036.txt"/>
    <s v="brown_ext_ist_lf"/>
    <n v="72"/>
    <s v="reclaimer_debra"/>
    <s v="allocator_new"/>
    <s v="pool_none"/>
    <n v="30000"/>
    <n v="0.5"/>
    <n v="0.5"/>
    <n v="0"/>
    <n v="1"/>
    <n v="200000000"/>
    <n v="24"/>
    <x v="0"/>
    <n v="24"/>
    <n v="0"/>
    <s v="insertIfAbsent"/>
    <n v="9999207349622380"/>
    <n v="99999931"/>
    <n v="9999207349622380"/>
    <n v="99999931"/>
    <s v="success"/>
    <n v="7"/>
    <n v="12919499"/>
    <n v="113870935"/>
    <n v="126790434"/>
    <n v="99999931"/>
    <n v="9.8138799999999993"/>
    <n v="0.87818700000000005"/>
    <n v="1.7887"/>
    <n v="4.0390499999999996"/>
    <n v="2856450256"/>
    <s v="0 0 0 109343 68422"/>
    <s v="0 0 0 109343 68422"/>
    <m/>
    <n v="319810"/>
    <n v="264682298"/>
    <n v="718280274272"/>
    <n v="860473445"/>
    <n v="0"/>
    <n v="8691339"/>
    <n v="860473445"/>
    <n v="869164784"/>
    <n v="28682448"/>
    <n v="0"/>
    <n v="289711"/>
    <n v="28682448"/>
    <n v="28972159"/>
    <n v="18.8581"/>
    <n v="8.1901899999999994"/>
    <n v="2309.61"/>
    <n v="1730.02"/>
    <n v="7282"/>
    <n v="1550"/>
    <x v="3"/>
    <n v="0"/>
    <n v="0"/>
    <n v="29.928344761333335"/>
    <n v="1.1028429083333333E-2"/>
  </r>
  <r>
    <s v="istree_exp6_rebuilding_time/step10037.txt"/>
    <s v="brown_ext_ist_lf"/>
    <n v="72"/>
    <s v="reclaimer_debra"/>
    <s v="allocator_new"/>
    <s v="pool_none"/>
    <n v="30000"/>
    <n v="0.5"/>
    <n v="0.5"/>
    <n v="0"/>
    <n v="1"/>
    <n v="200000000"/>
    <n v="48"/>
    <x v="1"/>
    <n v="48"/>
    <n v="0"/>
    <s v="insertIfAbsent"/>
    <n v="1.00001486957914E+16"/>
    <n v="100003523"/>
    <n v="1.00001486957914E+16"/>
    <n v="100003523"/>
    <s v="success"/>
    <n v="7"/>
    <n v="13901236"/>
    <n v="115930068"/>
    <n v="129831304"/>
    <n v="100003523"/>
    <n v="9.3395499999999991"/>
    <n v="0.86261900000000002"/>
    <n v="1.7702599999999999"/>
    <n v="4.0597200000000004"/>
    <n v="2969088096"/>
    <s v="0 0 1 453142 168362"/>
    <s v="0 0 1 453142 168362"/>
    <m/>
    <n v="137352"/>
    <n v="1239079682"/>
    <n v="1436560588460"/>
    <n v="1506601760"/>
    <n v="0"/>
    <n v="15219226"/>
    <n v="1506601760"/>
    <n v="1521820986"/>
    <n v="50220058"/>
    <n v="0"/>
    <n v="507307"/>
    <n v="50220058"/>
    <n v="50727366"/>
    <n v="18.900500000000001"/>
    <n v="8.2764699999999998"/>
    <n v="2635.55"/>
    <n v="1957.25"/>
    <n v="7480"/>
    <n v="1269"/>
    <x v="3"/>
    <n v="0"/>
    <n v="0"/>
    <n v="29.928345592916667"/>
    <n v="2.5814160041666669E-2"/>
  </r>
  <r>
    <s v="istree_exp6_rebuilding_time/step10038.txt"/>
    <s v="brown_ext_ist_lf"/>
    <n v="72"/>
    <s v="reclaimer_debra"/>
    <s v="allocator_new"/>
    <s v="pool_none"/>
    <n v="30000"/>
    <n v="0.5"/>
    <n v="0.5"/>
    <n v="0"/>
    <n v="1"/>
    <n v="200000000"/>
    <n v="96"/>
    <x v="2"/>
    <n v="96"/>
    <n v="0"/>
    <s v="insertIfAbsent"/>
    <n v="1.0000846283785E+16"/>
    <n v="100002028"/>
    <n v="1.0000846283785E+16"/>
    <n v="100002028"/>
    <s v="success"/>
    <n v="7"/>
    <n v="14932806"/>
    <n v="118226859"/>
    <n v="133159665"/>
    <n v="100002028"/>
    <n v="8.9172600000000006"/>
    <n v="0.84584899999999996"/>
    <n v="1.75099"/>
    <n v="4.0819099999999997"/>
    <n v="3090441328"/>
    <s v="0 0 15984 2058323 425988"/>
    <s v="0 0 15984 2058323 425988"/>
    <n v="1"/>
    <n v="67894"/>
    <n v="5736329351"/>
    <n v="2873121619978"/>
    <n v="3005759702"/>
    <n v="0"/>
    <n v="30361514"/>
    <n v="3005759702"/>
    <n v="3036121216"/>
    <n v="100191990"/>
    <n v="0"/>
    <n v="1012050"/>
    <n v="100191990"/>
    <n v="101204040"/>
    <n v="19.207999999999998"/>
    <n v="9.1628299999999996"/>
    <n v="2640.25"/>
    <n v="1912.41"/>
    <n v="7906"/>
    <n v="1098"/>
    <x v="3"/>
    <n v="0"/>
    <n v="0"/>
    <n v="29.928350208104167"/>
    <n v="5.9753430739583335E-2"/>
  </r>
  <r>
    <s v="istree_exp6_rebuilding_time/step10039.txt"/>
    <s v="brown_ext_ist_lf"/>
    <n v="72"/>
    <s v="reclaimer_debra"/>
    <s v="allocator_new"/>
    <s v="pool_none"/>
    <n v="30000"/>
    <n v="0.5"/>
    <n v="0.5"/>
    <n v="0"/>
    <n v="1"/>
    <n v="200000000"/>
    <n v="144"/>
    <x v="3"/>
    <n v="144"/>
    <n v="0"/>
    <s v="insertIfAbsent"/>
    <n v="1.00009743096457E+16"/>
    <n v="100006999"/>
    <n v="1.00009743096457E+16"/>
    <n v="100006999"/>
    <s v="success"/>
    <n v="7"/>
    <n v="13666195"/>
    <n v="115492801"/>
    <n v="129158996"/>
    <n v="100006999"/>
    <n v="9.4509799999999995"/>
    <n v="0.86591499999999999"/>
    <n v="1.7742899999999999"/>
    <n v="4.05274"/>
    <n v="2943994576"/>
    <s v="0 2503 308420 3765202 628857"/>
    <s v="0 2503 308420 3765202 628857"/>
    <n v="521"/>
    <n v="43472"/>
    <n v="19778341790"/>
    <n v="4309985426011"/>
    <n v="4413863901"/>
    <n v="0"/>
    <n v="44585352"/>
    <n v="4413863901"/>
    <n v="4458449253"/>
    <n v="147128796"/>
    <n v="0"/>
    <n v="1486178"/>
    <n v="147128796"/>
    <n v="148614975"/>
    <n v="19.338200000000001"/>
    <n v="9.4649699999999992"/>
    <n v="2689.44"/>
    <n v="1944.87"/>
    <n v="8915"/>
    <n v="1112"/>
    <x v="3"/>
    <n v="0"/>
    <n v="2503"/>
    <n v="29.930454347298607"/>
    <n v="0.13734959576388889"/>
  </r>
  <r>
    <s v="istree_exp6_rebuilding_time/step10040.txt"/>
    <s v="brown_ext_ist_lf"/>
    <n v="72"/>
    <s v="reclaimer_debra"/>
    <s v="allocator_new"/>
    <s v="pool_none"/>
    <n v="30000"/>
    <n v="0.5"/>
    <n v="0.5"/>
    <n v="0"/>
    <n v="1"/>
    <n v="200000000"/>
    <n v="190"/>
    <x v="4"/>
    <n v="190"/>
    <n v="0"/>
    <s v="insertIfAbsent"/>
    <n v="9999957715497090"/>
    <n v="99995368"/>
    <n v="9999957715497090"/>
    <n v="99995368"/>
    <s v="success"/>
    <n v="7"/>
    <n v="12641702"/>
    <n v="113296948"/>
    <n v="125938650"/>
    <n v="99995368"/>
    <n v="9.9621600000000008"/>
    <n v="0.88259500000000002"/>
    <n v="1.794"/>
    <n v="4.03329"/>
    <n v="2824800256"/>
    <s v="1 9998 344914 3955498 716659"/>
    <s v="1 9998 344910 3955497 716659"/>
    <n v="4192"/>
    <n v="32812"/>
    <n v="113829531825"/>
    <n v="5686388141137"/>
    <n v="5664588555"/>
    <n v="0"/>
    <n v="57227967"/>
    <n v="5664588555"/>
    <n v="5721816522"/>
    <n v="188819618"/>
    <n v="0"/>
    <n v="1907598"/>
    <n v="188819618"/>
    <n v="190727217"/>
    <n v="19.435400000000001"/>
    <n v="9.5752199999999998"/>
    <n v="2718.48"/>
    <n v="1969.77"/>
    <n v="13380"/>
    <n v="1145"/>
    <x v="3"/>
    <n v="1"/>
    <n v="9998"/>
    <n v="29.928358637563161"/>
    <n v="0.59910279907894737"/>
  </r>
  <r>
    <m/>
    <m/>
    <m/>
    <m/>
    <m/>
    <m/>
    <m/>
    <m/>
    <m/>
    <m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">
  <r>
    <s v="istree_exp6_rebuilding_time/step10001.txt"/>
    <s v="brown_ext_ist_lf"/>
    <n v="72"/>
    <s v="reclaimer_debra"/>
    <s v="allocator_new"/>
    <s v="pool_none"/>
    <n v="30000"/>
    <n v="20"/>
    <n v="20"/>
    <n v="0"/>
    <n v="1"/>
    <n v="2000000"/>
    <n v="24"/>
    <n v="24"/>
    <n v="24"/>
    <n v="0"/>
    <s v="insertIfAbsent"/>
    <n v="1000572364470"/>
    <n v="1000708"/>
    <n v="1000572364470"/>
    <n v="1000708"/>
    <s v="success"/>
    <n v="6"/>
    <n v="50330"/>
    <n v="1068357"/>
    <n v="1118687"/>
    <n v="1000708"/>
    <n v="22.227"/>
    <n v="0.93667900000000004"/>
    <n v="1.8945399999999999"/>
    <n v="3.0365799999999998"/>
    <n v="21143136"/>
    <s v="2113 938717 13491442 15112621"/>
    <s v="1043 935319 13487792 15112304"/>
    <n v="428816"/>
    <n v="530574"/>
    <n v="89841285765"/>
    <n v="718278690000"/>
    <n v="783066057"/>
    <n v="0"/>
    <n v="522038304"/>
    <n v="783066057"/>
    <n v="1305104361"/>
    <n v="26102201"/>
    <n v="0"/>
    <n v="17401276"/>
    <n v="26102201"/>
    <n v="43503478"/>
    <n v="15.7529"/>
    <n v="1.05504"/>
    <n v="1535.72"/>
    <n v="610.70100000000002"/>
    <n v="1215"/>
    <n v="27"/>
    <x v="0"/>
    <n v="1043"/>
    <n v="935319"/>
    <n v="29.92827875"/>
    <n v="3.7433869068749996"/>
    <n v="13487792"/>
    <n v="15112304"/>
    <n v="0"/>
  </r>
  <r>
    <s v="istree_exp6_rebuilding_time/step10002.txt"/>
    <s v="brown_ext_ist_lf"/>
    <n v="72"/>
    <s v="reclaimer_debra"/>
    <s v="allocator_new"/>
    <s v="pool_none"/>
    <n v="30000"/>
    <n v="20"/>
    <n v="20"/>
    <n v="0"/>
    <n v="1"/>
    <n v="2000000"/>
    <n v="48"/>
    <n v="48"/>
    <n v="48"/>
    <n v="0"/>
    <s v="insertIfAbsent"/>
    <n v="998613146713"/>
    <n v="998708"/>
    <n v="998613146713"/>
    <n v="998708"/>
    <s v="success"/>
    <n v="6"/>
    <n v="80818"/>
    <n v="1131439"/>
    <n v="1212257"/>
    <n v="998708"/>
    <n v="14.9998"/>
    <n v="0.88268800000000003"/>
    <n v="1.8238399999999999"/>
    <n v="3.1047699999999998"/>
    <n v="24667968"/>
    <s v="4020 1476143 14005868 20319023"/>
    <s v="1494 1473088 13994936 20318097"/>
    <n v="1725870"/>
    <n v="192860"/>
    <n v="224306740958"/>
    <n v="1436557831628"/>
    <n v="1120822344"/>
    <n v="0"/>
    <n v="747238068"/>
    <n v="1120822344"/>
    <n v="1868060412"/>
    <n v="37360744"/>
    <n v="0"/>
    <n v="24907935"/>
    <n v="37360744"/>
    <n v="62268680"/>
    <n v="16.204499999999999"/>
    <n v="1.53349"/>
    <n v="2098.2199999999998"/>
    <n v="991.54"/>
    <n v="1268"/>
    <n v="27"/>
    <x v="0"/>
    <n v="1494"/>
    <n v="1473088"/>
    <n v="29.928288158916668"/>
    <n v="4.6730571032916668"/>
    <n v="13994936"/>
    <n v="20318097"/>
    <n v="0"/>
  </r>
  <r>
    <s v="istree_exp6_rebuilding_time/step10003.txt"/>
    <s v="brown_ext_ist_lf"/>
    <n v="72"/>
    <s v="reclaimer_debra"/>
    <s v="allocator_new"/>
    <s v="pool_none"/>
    <n v="30000"/>
    <n v="20"/>
    <n v="20"/>
    <n v="0"/>
    <n v="1"/>
    <n v="2000000"/>
    <n v="96"/>
    <n v="96"/>
    <n v="96"/>
    <n v="0"/>
    <s v="insertIfAbsent"/>
    <n v="1000726852709"/>
    <n v="1000568"/>
    <n v="1000726852709"/>
    <n v="1000568"/>
    <s v="success"/>
    <n v="6"/>
    <n v="64724"/>
    <n v="1097207"/>
    <n v="1161931"/>
    <n v="1000568"/>
    <n v="17.952100000000002"/>
    <n v="0.91192300000000004"/>
    <n v="1.86113"/>
    <n v="3.06664"/>
    <n v="22769168"/>
    <s v="4988 2872030 4980271 21133225"/>
    <s v="1829 2845126 4964456 21131072"/>
    <n v="7152403"/>
    <n v="63938"/>
    <n v="663646858593"/>
    <n v="2873115911410"/>
    <n v="1371231193"/>
    <n v="0"/>
    <n v="914213863"/>
    <n v="1371231193"/>
    <n v="2285445056"/>
    <n v="45707706"/>
    <n v="0"/>
    <n v="30473795"/>
    <n v="45707706"/>
    <n v="76181501"/>
    <n v="19.4876"/>
    <n v="6.1401599999999998"/>
    <n v="3506.34"/>
    <n v="2343.0300000000002"/>
    <n v="1383"/>
    <n v="161"/>
    <x v="0"/>
    <n v="1829"/>
    <n v="2845126"/>
    <n v="29.928290743854166"/>
    <n v="6.9129881103437505"/>
    <n v="4964456"/>
    <n v="21131072"/>
    <n v="0"/>
  </r>
  <r>
    <s v="istree_exp6_rebuilding_time/step10004.txt"/>
    <s v="brown_ext_ist_lf"/>
    <n v="72"/>
    <s v="reclaimer_debra"/>
    <s v="allocator_new"/>
    <s v="pool_none"/>
    <n v="30000"/>
    <n v="20"/>
    <n v="20"/>
    <n v="0"/>
    <n v="1"/>
    <n v="2000000"/>
    <n v="144"/>
    <n v="144"/>
    <n v="144"/>
    <n v="0"/>
    <s v="insertIfAbsent"/>
    <n v="1001547680169"/>
    <n v="1001266"/>
    <n v="1001547680169"/>
    <n v="1001266"/>
    <s v="success"/>
    <n v="6"/>
    <n v="54241"/>
    <n v="1076446"/>
    <n v="1130687"/>
    <n v="1001266"/>
    <n v="20.845600000000001"/>
    <n v="0.93015899999999996"/>
    <n v="1.88554"/>
    <n v="3.0441199999999999"/>
    <n v="21581568"/>
    <s v="5812 5903625 1063265 16436672"/>
    <s v="2023 5853914 1055646 16434073"/>
    <n v="17894350"/>
    <n v="32088"/>
    <n v="1319443907074"/>
    <n v="4309675802466"/>
    <n v="1516143645"/>
    <n v="0"/>
    <n v="1010868850"/>
    <n v="1516143645"/>
    <n v="2527012495"/>
    <n v="50538121"/>
    <n v="0"/>
    <n v="33695628"/>
    <n v="50538121"/>
    <n v="84233749"/>
    <n v="24.3704"/>
    <n v="10.6127"/>
    <n v="4758.18"/>
    <n v="3453.1"/>
    <n v="1578"/>
    <n v="270"/>
    <x v="0"/>
    <n v="2023"/>
    <n v="5853914"/>
    <n v="29.928304183791667"/>
    <n v="9.1628049102361118"/>
    <n v="1055646"/>
    <n v="16434073"/>
    <n v="0"/>
  </r>
  <r>
    <s v="istree_exp6_rebuilding_time/step10005.txt"/>
    <s v="brown_ext_ist_lf"/>
    <n v="72"/>
    <s v="reclaimer_debra"/>
    <s v="allocator_new"/>
    <s v="pool_none"/>
    <n v="30000"/>
    <n v="20"/>
    <n v="20"/>
    <n v="0"/>
    <n v="1"/>
    <n v="2000000"/>
    <n v="190"/>
    <n v="190"/>
    <n v="190"/>
    <n v="0"/>
    <s v="insertIfAbsent"/>
    <n v="1000104563126"/>
    <n v="999812"/>
    <n v="1000104563126"/>
    <n v="999812"/>
    <s v="success"/>
    <n v="6"/>
    <n v="33060"/>
    <n v="1031913"/>
    <n v="1064973"/>
    <n v="999812"/>
    <n v="32.213299999999997"/>
    <n v="0.96889199999999998"/>
    <n v="1.9388099999999999"/>
    <n v="3.0001199999999999"/>
    <n v="19155392"/>
    <s v="7134 5463461 2656701 21788752"/>
    <s v="2324 5404540 2637671 21784773"/>
    <n v="24636935"/>
    <n v="20974"/>
    <n v="1782720926151"/>
    <n v="5686742622408"/>
    <n v="1741226664"/>
    <n v="0"/>
    <n v="1160809600"/>
    <n v="1741226664"/>
    <n v="2902036264"/>
    <n v="58040888"/>
    <n v="0"/>
    <n v="38693653"/>
    <n v="58040888"/>
    <n v="96734542"/>
    <n v="25.047499999999999"/>
    <n v="11.9505"/>
    <n v="5465.32"/>
    <n v="4162.0600000000004"/>
    <n v="1758"/>
    <n v="260"/>
    <x v="0"/>
    <n v="2324"/>
    <n v="5404540"/>
    <n v="29.930224328463158"/>
    <n v="9.38274171658421"/>
    <n v="2637671"/>
    <n v="21784773"/>
    <n v="0"/>
  </r>
  <r>
    <s v="istree_exp6_rebuilding_time/step10006.txt"/>
    <s v="brown_ext_ist_lf"/>
    <n v="72"/>
    <s v="reclaimer_debra"/>
    <s v="allocator_new"/>
    <s v="pool_none"/>
    <n v="30000"/>
    <n v="20"/>
    <n v="20"/>
    <n v="0"/>
    <n v="1"/>
    <n v="200000000"/>
    <n v="24"/>
    <n v="24"/>
    <n v="24"/>
    <n v="0"/>
    <s v="insertIfAbsent"/>
    <n v="1.0000305167473E+16"/>
    <n v="100000190"/>
    <n v="1.0000305167473E+16"/>
    <n v="100000190"/>
    <s v="success"/>
    <n v="7"/>
    <n v="11011105"/>
    <n v="110001195"/>
    <n v="121012300"/>
    <n v="100000190"/>
    <n v="10.99"/>
    <n v="0.90908299999999997"/>
    <n v="1.82636"/>
    <n v="4"/>
    <n v="2640907504"/>
    <s v="5 25429 1988760 16865216 2766257"/>
    <s v="4 25391 1988748 16865199 2766256"/>
    <n v="7571"/>
    <n v="183528"/>
    <n v="109853696526"/>
    <n v="719486877394"/>
    <n v="300024768"/>
    <n v="0"/>
    <n v="199995385"/>
    <n v="300024768"/>
    <n v="500020153"/>
    <n v="10000825"/>
    <n v="0"/>
    <n v="6666512"/>
    <n v="10000825"/>
    <n v="16667338"/>
    <n v="27.969799999999999"/>
    <n v="13.652200000000001"/>
    <n v="3889.11"/>
    <n v="2839.89"/>
    <n v="12609"/>
    <n v="1538"/>
    <x v="1"/>
    <n v="4"/>
    <n v="25391"/>
    <n v="29.978619891416667"/>
    <n v="4.5772373552499994"/>
    <n v="1988748"/>
    <n v="16865199"/>
    <n v="2766256"/>
  </r>
  <r>
    <s v="istree_exp6_rebuilding_time/step10007.txt"/>
    <s v="brown_ext_ist_lf"/>
    <n v="72"/>
    <s v="reclaimer_debra"/>
    <s v="allocator_new"/>
    <s v="pool_none"/>
    <n v="30000"/>
    <n v="20"/>
    <n v="20"/>
    <n v="0"/>
    <n v="1"/>
    <n v="200000000"/>
    <n v="48"/>
    <n v="48"/>
    <n v="48"/>
    <n v="0"/>
    <s v="insertIfAbsent"/>
    <n v="9999269022466760"/>
    <n v="99994709"/>
    <n v="9999269022466760"/>
    <n v="99994709"/>
    <s v="success"/>
    <n v="7"/>
    <n v="14782098"/>
    <n v="117868484"/>
    <n v="132650582"/>
    <n v="99994709"/>
    <n v="8.9737299999999998"/>
    <n v="0.84835799999999995"/>
    <n v="1.7538199999999999"/>
    <n v="4.0787100000000001"/>
    <n v="3072179152"/>
    <s v="7 51684 2824027 26459564 4464416"/>
    <s v="6 51614 2823977 26459530 4464416"/>
    <n v="31792"/>
    <n v="69482"/>
    <n v="241516674678"/>
    <n v="1436558468283"/>
    <n v="488837111"/>
    <n v="0"/>
    <n v="325921781"/>
    <n v="488837111"/>
    <n v="814758892"/>
    <n v="16294570"/>
    <n v="0"/>
    <n v="10864059"/>
    <n v="16294570"/>
    <n v="27158629"/>
    <n v="29.331700000000001"/>
    <n v="14.1416"/>
    <n v="4711.67"/>
    <n v="3475.96"/>
    <n v="13104"/>
    <n v="1287"/>
    <x v="1"/>
    <n v="6"/>
    <n v="51614"/>
    <n v="29.928301422562498"/>
    <n v="5.0315973891249994"/>
    <n v="2823977"/>
    <n v="26459530"/>
    <n v="4464416"/>
  </r>
  <r>
    <s v="istree_exp6_rebuilding_time/step10008.txt"/>
    <s v="brown_ext_ist_lf"/>
    <n v="72"/>
    <s v="reclaimer_debra"/>
    <s v="allocator_new"/>
    <s v="pool_none"/>
    <n v="30000"/>
    <n v="20"/>
    <n v="20"/>
    <n v="0"/>
    <n v="1"/>
    <n v="200000000"/>
    <n v="96"/>
    <n v="96"/>
    <n v="96"/>
    <n v="0"/>
    <s v="insertIfAbsent"/>
    <n v="9998964549238950"/>
    <n v="99991163"/>
    <n v="9998964549238950"/>
    <n v="99991163"/>
    <s v="success"/>
    <n v="7"/>
    <n v="14580007"/>
    <n v="117439736"/>
    <n v="132019743"/>
    <n v="99991163"/>
    <n v="9.0548500000000001"/>
    <n v="0.85142499999999999"/>
    <n v="1.7574000000000001"/>
    <n v="4.0722399999999999"/>
    <n v="3049389072"/>
    <s v="29 109131 4578753 47525399 7997192"/>
    <s v="11 109078 4578557 47525249 7997186"/>
    <n v="152433"/>
    <n v="30200"/>
    <n v="520862907108"/>
    <n v="2873117737507"/>
    <n v="888319639"/>
    <n v="0"/>
    <n v="592208757"/>
    <n v="888319639"/>
    <n v="1480528396"/>
    <n v="29610654"/>
    <n v="0"/>
    <n v="19740291"/>
    <n v="29610654"/>
    <n v="49350946"/>
    <n v="30.468599999999999"/>
    <n v="15.906700000000001"/>
    <n v="5070.03"/>
    <n v="3703.21"/>
    <n v="13769"/>
    <n v="1068"/>
    <x v="1"/>
    <n v="11"/>
    <n v="109078"/>
    <n v="29.928309765697918"/>
    <n v="5.4256552823749997"/>
    <n v="4578557"/>
    <n v="47525249"/>
    <n v="7997186"/>
  </r>
  <r>
    <s v="istree_exp6_rebuilding_time/step10009.txt"/>
    <s v="brown_ext_ist_lf"/>
    <n v="72"/>
    <s v="reclaimer_debra"/>
    <s v="allocator_new"/>
    <s v="pool_none"/>
    <n v="30000"/>
    <n v="20"/>
    <n v="20"/>
    <n v="0"/>
    <n v="1"/>
    <n v="200000000"/>
    <n v="144"/>
    <n v="144"/>
    <n v="144"/>
    <n v="0"/>
    <s v="insertIfAbsent"/>
    <n v="1.00001437105632E+16"/>
    <n v="99995492"/>
    <n v="1.00001437105632E+16"/>
    <n v="99995492"/>
    <s v="success"/>
    <n v="7"/>
    <n v="14001766"/>
    <n v="116146040"/>
    <n v="130147806"/>
    <n v="99995492"/>
    <n v="9.2950999999999997"/>
    <n v="0.86094599999999999"/>
    <n v="1.7683199999999999"/>
    <n v="4.06189"/>
    <n v="2980745968"/>
    <s v="54 159960 5599380 62909924 10843658"/>
    <s v="16 159948 5598994 62909591 10843628"/>
    <n v="320096"/>
    <n v="17770"/>
    <n v="827988600378"/>
    <n v="4309677182814"/>
    <n v="1224156544"/>
    <n v="0"/>
    <n v="816093498"/>
    <n v="1224156544"/>
    <n v="2040250042"/>
    <n v="40805218"/>
    <n v="0"/>
    <n v="27203116"/>
    <n v="40805218"/>
    <n v="68008334"/>
    <n v="31.1523"/>
    <n v="16.998799999999999"/>
    <n v="5381.32"/>
    <n v="3962.28"/>
    <n v="14190"/>
    <n v="1059"/>
    <x v="1"/>
    <n v="16"/>
    <n v="159948"/>
    <n v="29.928313769541667"/>
    <n v="5.7499208359583331"/>
    <n v="5598994"/>
    <n v="62909591"/>
    <n v="10843628"/>
  </r>
  <r>
    <s v="istree_exp6_rebuilding_time/step10010.txt"/>
    <s v="brown_ext_ist_lf"/>
    <n v="72"/>
    <s v="reclaimer_debra"/>
    <s v="allocator_new"/>
    <s v="pool_none"/>
    <n v="30000"/>
    <n v="20"/>
    <n v="20"/>
    <n v="0"/>
    <n v="1"/>
    <n v="200000000"/>
    <n v="190"/>
    <n v="190"/>
    <n v="190"/>
    <n v="0"/>
    <s v="insertIfAbsent"/>
    <n v="9999336492531180"/>
    <n v="99995084"/>
    <n v="9999336492531180"/>
    <n v="99995084"/>
    <s v="success"/>
    <n v="7"/>
    <n v="11292750"/>
    <n v="110560937"/>
    <n v="121853687"/>
    <n v="99995084"/>
    <n v="10.7904"/>
    <n v="0.90443399999999996"/>
    <n v="1.8206199999999999"/>
    <n v="4.0056799999999999"/>
    <n v="2672418288"/>
    <s v="71 199961 6887505 77737892 13321146"/>
    <s v="20 199946 6886828 77737377 13321110"/>
    <n v="513242"/>
    <n v="12714"/>
    <n v="1143311860534"/>
    <n v="5690389524840"/>
    <n v="1501590763"/>
    <n v="0"/>
    <n v="1001090928"/>
    <n v="1501590763"/>
    <n v="2502681691"/>
    <n v="50053025"/>
    <n v="0"/>
    <n v="33369697"/>
    <n v="50053025"/>
    <n v="83422723"/>
    <n v="31.5853"/>
    <n v="17.667000000000002"/>
    <n v="5691.26"/>
    <n v="4202.29"/>
    <n v="14434"/>
    <n v="1166"/>
    <x v="1"/>
    <n v="20"/>
    <n v="199946"/>
    <n v="29.949418551789474"/>
    <n v="6.0174308449157898"/>
    <n v="6886828"/>
    <n v="77737377"/>
    <n v="13321110"/>
  </r>
  <r>
    <s v="istree_exp6_rebuilding_time/step10011.txt"/>
    <s v="brown_ext_ist_lf"/>
    <n v="72"/>
    <s v="reclaimer_debra"/>
    <s v="allocator_new"/>
    <s v="pool_none"/>
    <n v="30000"/>
    <n v="0.5"/>
    <n v="0.5"/>
    <n v="0"/>
    <n v="1"/>
    <n v="2000000"/>
    <n v="24"/>
    <n v="24"/>
    <n v="24"/>
    <n v="0"/>
    <s v="insertIfAbsent"/>
    <n v="1000062202652"/>
    <n v="1000560"/>
    <n v="1000062202652"/>
    <n v="1000560"/>
    <s v="success"/>
    <n v="6"/>
    <n v="83876"/>
    <n v="1138403"/>
    <n v="1222279"/>
    <n v="1000560"/>
    <n v="14.5725"/>
    <n v="0.878915"/>
    <n v="1.8186"/>
    <n v="3.1107499999999999"/>
    <n v="25026208"/>
    <s v="49 42227 611405 688629"/>
    <s v="47 42222 611396 688629"/>
    <n v="3826"/>
    <n v="880734"/>
    <n v="4361150056"/>
    <n v="718279564048"/>
    <n v="2354428325"/>
    <n v="0"/>
    <n v="23790894"/>
    <n v="2354428325"/>
    <n v="2378219219"/>
    <n v="78480944"/>
    <n v="0"/>
    <n v="793029"/>
    <n v="78480944"/>
    <n v="79273973"/>
    <n v="8.6193799999999996"/>
    <n v="9.7589599999999999E-2"/>
    <n v="843.96299999999997"/>
    <n v="278.58699999999999"/>
    <n v="1186"/>
    <n v="26"/>
    <x v="2"/>
    <n v="47"/>
    <n v="42222"/>
    <n v="29.928315168666668"/>
    <n v="0.18171458566666665"/>
    <n v="611396"/>
    <n v="688629"/>
    <n v="0"/>
  </r>
  <r>
    <s v="istree_exp6_rebuilding_time/step10012.txt"/>
    <s v="brown_ext_ist_lf"/>
    <n v="72"/>
    <s v="reclaimer_debra"/>
    <s v="allocator_new"/>
    <s v="pool_none"/>
    <n v="30000"/>
    <n v="0.5"/>
    <n v="0.5"/>
    <n v="0"/>
    <n v="1"/>
    <n v="2000000"/>
    <n v="48"/>
    <n v="48"/>
    <n v="48"/>
    <n v="0"/>
    <s v="insertIfAbsent"/>
    <n v="998560990067"/>
    <n v="998213"/>
    <n v="998560990067"/>
    <n v="998213"/>
    <s v="success"/>
    <n v="6"/>
    <n v="53586"/>
    <n v="1073068"/>
    <n v="1126654"/>
    <n v="998213"/>
    <n v="21.025200000000002"/>
    <n v="0.93024200000000001"/>
    <n v="1.8859999999999999"/>
    <n v="3.0438200000000002"/>
    <n v="21484448"/>
    <s v="77 72872 693563 1004938"/>
    <s v="73 72864 693535 1004934"/>
    <n v="16119"/>
    <n v="335990"/>
    <n v="10786989618"/>
    <n v="1436559062750"/>
    <n v="3655992778"/>
    <n v="0"/>
    <n v="36924722"/>
    <n v="3655992778"/>
    <n v="3692917500"/>
    <n v="121866425"/>
    <n v="0"/>
    <n v="1230824"/>
    <n v="121866425"/>
    <n v="123097250"/>
    <n v="8.4165500000000009"/>
    <n v="0.110337"/>
    <n v="1079.81"/>
    <n v="384.92500000000001"/>
    <n v="1214"/>
    <n v="28"/>
    <x v="2"/>
    <n v="73"/>
    <n v="72864"/>
    <n v="29.928313807291669"/>
    <n v="0.22472895037499999"/>
    <n v="693535"/>
    <n v="1004934"/>
    <n v="0"/>
  </r>
  <r>
    <s v="istree_exp6_rebuilding_time/step10013.txt"/>
    <s v="brown_ext_ist_lf"/>
    <n v="72"/>
    <s v="reclaimer_debra"/>
    <s v="allocator_new"/>
    <s v="pool_none"/>
    <n v="30000"/>
    <n v="0.5"/>
    <n v="0.5"/>
    <n v="0"/>
    <n v="1"/>
    <n v="2000000"/>
    <n v="96"/>
    <n v="96"/>
    <n v="96"/>
    <n v="0"/>
    <s v="insertIfAbsent"/>
    <n v="1000656464180"/>
    <n v="1000508"/>
    <n v="1000656464180"/>
    <n v="1000508"/>
    <s v="success"/>
    <n v="6"/>
    <n v="67514"/>
    <n v="1102756"/>
    <n v="1170270"/>
    <n v="1000508"/>
    <n v="17.3337"/>
    <n v="0.90727999999999998"/>
    <n v="1.85494"/>
    <n v="3.0731099999999998"/>
    <n v="23090000"/>
    <s v="150 219892 380303 1619665"/>
    <s v="140 219724 380211 1619653"/>
    <n v="86239"/>
    <n v="160748"/>
    <n v="40469325501"/>
    <n v="2873118717808"/>
    <n v="6942515059"/>
    <n v="0"/>
    <n v="70128399"/>
    <n v="6942515059"/>
    <n v="7012643458"/>
    <n v="231417168"/>
    <n v="0"/>
    <n v="2337613"/>
    <n v="231417168"/>
    <n v="233754781"/>
    <n v="8.4520099999999996"/>
    <n v="0.24959899999999999"/>
    <n v="1136.77"/>
    <n v="415.30700000000002"/>
    <n v="1276"/>
    <n v="168"/>
    <x v="2"/>
    <n v="140"/>
    <n v="219724"/>
    <n v="29.928319977166666"/>
    <n v="0.42155547396874998"/>
    <n v="380211"/>
    <n v="1619653"/>
    <n v="0"/>
  </r>
  <r>
    <s v="istree_exp6_rebuilding_time/step10014.txt"/>
    <s v="brown_ext_ist_lf"/>
    <n v="72"/>
    <s v="reclaimer_debra"/>
    <s v="allocator_new"/>
    <s v="pool_none"/>
    <n v="30000"/>
    <n v="0.5"/>
    <n v="0.5"/>
    <n v="0"/>
    <n v="1"/>
    <n v="2000000"/>
    <n v="144"/>
    <n v="144"/>
    <n v="144"/>
    <n v="0"/>
    <s v="insertIfAbsent"/>
    <n v="1000667815926"/>
    <n v="1000317"/>
    <n v="1000667815926"/>
    <n v="1000317"/>
    <s v="success"/>
    <n v="6"/>
    <n v="50573"/>
    <n v="1068027"/>
    <n v="1118600"/>
    <n v="1000317"/>
    <n v="22.118500000000001"/>
    <n v="0.93660299999999996"/>
    <n v="1.8942600000000001"/>
    <n v="3.0363799999999999"/>
    <n v="21149488"/>
    <s v="220 596768 107413 1661767"/>
    <s v="204 596357 107340 1661746"/>
    <n v="207691"/>
    <n v="104984"/>
    <n v="83210424708"/>
    <n v="4309678792188"/>
    <n v="10127525547"/>
    <n v="0"/>
    <n v="102316544"/>
    <n v="10127525547"/>
    <n v="10229842091"/>
    <n v="337584184"/>
    <n v="0"/>
    <n v="3410551"/>
    <n v="337584184"/>
    <n v="340994736"/>
    <n v="8.5656700000000008"/>
    <n v="0.35626200000000002"/>
    <n v="1156.75"/>
    <n v="431.84699999999998"/>
    <n v="1351"/>
    <n v="289"/>
    <x v="2"/>
    <n v="204"/>
    <n v="596357"/>
    <n v="29.928324945750003"/>
    <n v="0.57785017158333341"/>
    <n v="107340"/>
    <n v="1661746"/>
    <n v="0"/>
  </r>
  <r>
    <s v="istree_exp6_rebuilding_time/step10015.txt"/>
    <s v="brown_ext_ist_lf"/>
    <n v="72"/>
    <s v="reclaimer_debra"/>
    <s v="allocator_new"/>
    <s v="pool_none"/>
    <n v="30000"/>
    <n v="0.5"/>
    <n v="0.5"/>
    <n v="0"/>
    <n v="1"/>
    <n v="2000000"/>
    <n v="190"/>
    <n v="190"/>
    <n v="190"/>
    <n v="0"/>
    <s v="insertIfAbsent"/>
    <n v="1000413599946"/>
    <n v="999862"/>
    <n v="1000413599946"/>
    <n v="999862"/>
    <s v="success"/>
    <n v="6"/>
    <n v="54733"/>
    <n v="1075739"/>
    <n v="1130472"/>
    <n v="999862"/>
    <n v="20.654299999999999"/>
    <n v="0.92946499999999999"/>
    <n v="1.88446"/>
    <n v="3.0455100000000002"/>
    <n v="21612992"/>
    <s v="289 609880 295141 2435452"/>
    <s v="259 609329 294930 2435413"/>
    <n v="315048"/>
    <n v="90612"/>
    <n v="117509172328"/>
    <n v="5686382521377"/>
    <n v="12845463130"/>
    <n v="0"/>
    <n v="129757846"/>
    <n v="12845463130"/>
    <n v="12975220976"/>
    <n v="428182104"/>
    <n v="0"/>
    <n v="4325261"/>
    <n v="428182104"/>
    <n v="432507365"/>
    <n v="8.6679499999999994"/>
    <n v="0.41316799999999998"/>
    <n v="1201.72"/>
    <n v="458.39499999999998"/>
    <n v="1423"/>
    <n v="284"/>
    <x v="2"/>
    <n v="259"/>
    <n v="609329"/>
    <n v="29.928329059878944"/>
    <n v="0.6184693280421053"/>
    <n v="294930"/>
    <n v="2435413"/>
    <n v="0"/>
  </r>
  <r>
    <s v="istree_exp6_rebuilding_time/step10016.txt"/>
    <s v="brown_ext_ist_lf"/>
    <n v="72"/>
    <s v="reclaimer_debra"/>
    <s v="allocator_new"/>
    <s v="pool_none"/>
    <n v="30000"/>
    <n v="0.5"/>
    <n v="0.5"/>
    <n v="0"/>
    <n v="1"/>
    <n v="200000000"/>
    <n v="24"/>
    <n v="24"/>
    <n v="24"/>
    <n v="0"/>
    <s v="insertIfAbsent"/>
    <n v="9999972228798670"/>
    <n v="100002847"/>
    <n v="9999972228798670"/>
    <n v="100002847"/>
    <s v="success"/>
    <n v="7"/>
    <n v="12911718"/>
    <n v="113853537"/>
    <n v="126765255"/>
    <n v="100002847"/>
    <n v="9.81785"/>
    <n v="0.87834599999999996"/>
    <n v="1.78888"/>
    <n v="4.0388999999999999"/>
    <n v="2855580960"/>
    <s v="0 0 0 108502 68032"/>
    <s v="0 0 0 108502 68032"/>
    <m/>
    <n v="318396"/>
    <n v="257415660"/>
    <n v="718279743596"/>
    <n v="856778833"/>
    <n v="0"/>
    <n v="8655581"/>
    <n v="856778833"/>
    <n v="865434414"/>
    <n v="28559294"/>
    <n v="0"/>
    <n v="288519"/>
    <n v="28559294"/>
    <n v="28847813"/>
    <n v="18.7988"/>
    <n v="8.2041599999999999"/>
    <n v="2319.6"/>
    <n v="1734.64"/>
    <n v="7280"/>
    <n v="1536"/>
    <x v="3"/>
    <n v="0"/>
    <n v="0"/>
    <n v="29.928322649833333"/>
    <n v="1.07256525E-2"/>
    <n v="0"/>
    <n v="108502"/>
    <n v="68032"/>
  </r>
  <r>
    <s v="istree_exp6_rebuilding_time/step10017.txt"/>
    <s v="brown_ext_ist_lf"/>
    <n v="72"/>
    <s v="reclaimer_debra"/>
    <s v="allocator_new"/>
    <s v="pool_none"/>
    <n v="30000"/>
    <n v="0.5"/>
    <n v="0.5"/>
    <n v="0"/>
    <n v="1"/>
    <n v="200000000"/>
    <n v="48"/>
    <n v="48"/>
    <n v="48"/>
    <n v="0"/>
    <s v="insertIfAbsent"/>
    <n v="9999692431455050"/>
    <n v="100000461"/>
    <n v="9999692431455050"/>
    <n v="100000461"/>
    <s v="success"/>
    <n v="7"/>
    <n v="13893421"/>
    <n v="115911981"/>
    <n v="129805402"/>
    <n v="100000461"/>
    <n v="9.3429400000000005"/>
    <n v="0.86272800000000005"/>
    <n v="1.7703899999999999"/>
    <n v="4.0595600000000003"/>
    <n v="2968186272"/>
    <s v="0 0 1 449958 166795"/>
    <s v="0 0 1 449958 166795"/>
    <m/>
    <n v="136876"/>
    <n v="1239720027"/>
    <n v="1436559528181"/>
    <n v="1501747950"/>
    <n v="0"/>
    <n v="15171731"/>
    <n v="1501747950"/>
    <n v="1516919681"/>
    <n v="50058265"/>
    <n v="0"/>
    <n v="505724"/>
    <n v="50058265"/>
    <n v="50563989"/>
    <n v="18.890899999999998"/>
    <n v="8.2880400000000005"/>
    <n v="2643.71"/>
    <n v="1962.94"/>
    <n v="7479"/>
    <n v="1307"/>
    <x v="3"/>
    <n v="0"/>
    <n v="0"/>
    <n v="29.92832350377083"/>
    <n v="2.5827500562499998E-2"/>
    <n v="1"/>
    <n v="449958"/>
    <n v="166795"/>
  </r>
  <r>
    <s v="istree_exp6_rebuilding_time/step10018.txt"/>
    <s v="brown_ext_ist_lf"/>
    <n v="72"/>
    <s v="reclaimer_debra"/>
    <s v="allocator_new"/>
    <s v="pool_none"/>
    <n v="30000"/>
    <n v="0.5"/>
    <n v="0.5"/>
    <n v="0"/>
    <n v="1"/>
    <n v="200000000"/>
    <n v="96"/>
    <n v="96"/>
    <n v="96"/>
    <n v="0"/>
    <s v="insertIfAbsent"/>
    <n v="9999770377891520"/>
    <n v="100004646"/>
    <n v="9999770377891520"/>
    <n v="100004646"/>
    <s v="success"/>
    <n v="7"/>
    <n v="14933326"/>
    <n v="118232647"/>
    <n v="133165973"/>
    <n v="100004646"/>
    <n v="8.91737"/>
    <n v="0.84582900000000005"/>
    <n v="1.75098"/>
    <n v="4.0819200000000002"/>
    <n v="3090561312"/>
    <s v="0 0 15608 2057392 426041"/>
    <s v="0 0 15608 2057392 426041"/>
    <m/>
    <n v="67794"/>
    <n v="5761296590"/>
    <n v="2873119671865"/>
    <n v="3005045116"/>
    <n v="0"/>
    <n v="30347743"/>
    <n v="3005045116"/>
    <n v="3035392859"/>
    <n v="100168170"/>
    <n v="0"/>
    <n v="1011591"/>
    <n v="100168170"/>
    <n v="101179761"/>
    <n v="19.219899999999999"/>
    <n v="9.1577400000000004"/>
    <n v="2640.19"/>
    <n v="1913.92"/>
    <n v="7907"/>
    <n v="1084"/>
    <x v="3"/>
    <n v="0"/>
    <n v="0"/>
    <n v="29.928329915260417"/>
    <n v="6.0013506145833333E-2"/>
    <n v="15608"/>
    <n v="2057392"/>
    <n v="426041"/>
  </r>
  <r>
    <s v="istree_exp6_rebuilding_time/step10019.txt"/>
    <s v="brown_ext_ist_lf"/>
    <n v="72"/>
    <s v="reclaimer_debra"/>
    <s v="allocator_new"/>
    <s v="pool_none"/>
    <n v="30000"/>
    <n v="0.5"/>
    <n v="0.5"/>
    <n v="0"/>
    <n v="1"/>
    <n v="200000000"/>
    <n v="144"/>
    <n v="144"/>
    <n v="144"/>
    <n v="0"/>
    <s v="insertIfAbsent"/>
    <n v="9998886901760700"/>
    <n v="99990020"/>
    <n v="9998886901760700"/>
    <n v="99990020"/>
    <s v="success"/>
    <n v="7"/>
    <n v="13693006"/>
    <n v="115540909"/>
    <n v="129233915"/>
    <n v="99990020"/>
    <n v="9.4379500000000007"/>
    <n v="0.86540799999999996"/>
    <n v="1.7737099999999999"/>
    <n v="4.0533000000000001"/>
    <n v="2946947168"/>
    <s v="0 2400 307744 3767151 631191"/>
    <s v="0 2400 307741 3767150 631191"/>
    <n v="480"/>
    <n v="43460"/>
    <n v="19584179554"/>
    <n v="4309938133839"/>
    <n v="4411844767"/>
    <n v="0"/>
    <n v="44562235"/>
    <n v="4411844767"/>
    <n v="4456407002"/>
    <n v="147061492"/>
    <n v="0"/>
    <n v="1485407"/>
    <n v="147061492"/>
    <n v="148546900"/>
    <n v="19.381399999999999"/>
    <n v="9.4764800000000005"/>
    <n v="2691.11"/>
    <n v="1946.42"/>
    <n v="8892"/>
    <n v="1105"/>
    <x v="3"/>
    <n v="0"/>
    <n v="2400"/>
    <n v="29.930125929437501"/>
    <n v="0.13600124690277776"/>
    <n v="307741"/>
    <n v="3767150"/>
    <n v="631191"/>
  </r>
  <r>
    <s v="istree_exp6_rebuilding_time/step10020.txt"/>
    <s v="brown_ext_ist_lf"/>
    <n v="72"/>
    <s v="reclaimer_debra"/>
    <s v="allocator_new"/>
    <s v="pool_none"/>
    <n v="30000"/>
    <n v="0.5"/>
    <n v="0.5"/>
    <n v="0"/>
    <n v="1"/>
    <n v="200000000"/>
    <n v="190"/>
    <n v="190"/>
    <n v="190"/>
    <n v="0"/>
    <s v="insertIfAbsent"/>
    <n v="1.00009694966803E+16"/>
    <n v="100004257"/>
    <n v="1.00009694966803E+16"/>
    <n v="100004257"/>
    <s v="success"/>
    <n v="7"/>
    <n v="12627822"/>
    <n v="113272646"/>
    <n v="125900468"/>
    <n v="100004257"/>
    <n v="9.9700900000000008"/>
    <n v="0.88286299999999995"/>
    <n v="1.7943100000000001"/>
    <n v="4.0329800000000002"/>
    <n v="2823288368"/>
    <s v="1 10000 344301 3953670 715593"/>
    <s v="1 10000 344299 3953667 715593"/>
    <n v="4400"/>
    <n v="32932"/>
    <n v="119114364454"/>
    <n v="5686579160303"/>
    <n v="5657610661"/>
    <n v="0"/>
    <n v="57146668"/>
    <n v="5657610661"/>
    <n v="5714757329"/>
    <n v="188587022"/>
    <n v="0"/>
    <n v="1904888"/>
    <n v="188587022"/>
    <n v="190491910"/>
    <n v="19.436599999999999"/>
    <n v="9.5742200000000004"/>
    <n v="2718.92"/>
    <n v="1974.11"/>
    <n v="13348"/>
    <n v="1070"/>
    <x v="3"/>
    <n v="1"/>
    <n v="10000"/>
    <n v="29.929364001594738"/>
    <n v="0.62691770765263155"/>
    <n v="344299"/>
    <n v="3953667"/>
    <n v="715593"/>
  </r>
  <r>
    <s v="istree_exp6_rebuilding_time/step10021.txt"/>
    <s v="brown_ext_ist_lf"/>
    <n v="72"/>
    <s v="reclaimer_debra"/>
    <s v="allocator_new"/>
    <s v="pool_none"/>
    <n v="30000"/>
    <n v="20"/>
    <n v="20"/>
    <n v="0"/>
    <n v="1"/>
    <n v="2000000"/>
    <n v="24"/>
    <n v="24"/>
    <n v="24"/>
    <n v="0"/>
    <s v="insertIfAbsent"/>
    <n v="998945716957"/>
    <n v="999302"/>
    <n v="998945716957"/>
    <n v="999302"/>
    <s v="success"/>
    <n v="6"/>
    <n v="60378"/>
    <n v="1087038"/>
    <n v="1147416"/>
    <n v="999302"/>
    <n v="19.003900000000002"/>
    <n v="0.91928900000000002"/>
    <n v="1.8709199999999999"/>
    <n v="3.0572300000000001"/>
    <n v="22249360"/>
    <s v="2081 943366 13556988 15182461"/>
    <s v="1049 939842 13553404 15182139"/>
    <n v="430042"/>
    <n v="532958"/>
    <n v="89822416977"/>
    <n v="718280026800"/>
    <n v="786946733"/>
    <n v="0"/>
    <n v="524623402"/>
    <n v="786946733"/>
    <n v="1311570135"/>
    <n v="26231557"/>
    <n v="0"/>
    <n v="17487446"/>
    <n v="26231557"/>
    <n v="43719004"/>
    <n v="15.7684"/>
    <n v="1.0445"/>
    <n v="1529.8"/>
    <n v="605.69799999999998"/>
    <n v="1215"/>
    <n v="24"/>
    <x v="0"/>
    <n v="1049"/>
    <n v="939842"/>
    <n v="29.928334449999998"/>
    <n v="3.7426007073750003"/>
    <n v="13553404"/>
    <n v="15182139"/>
    <n v="0"/>
  </r>
  <r>
    <s v="istree_exp6_rebuilding_time/step10022.txt"/>
    <s v="brown_ext_ist_lf"/>
    <n v="72"/>
    <s v="reclaimer_debra"/>
    <s v="allocator_new"/>
    <s v="pool_none"/>
    <n v="30000"/>
    <n v="20"/>
    <n v="20"/>
    <n v="0"/>
    <n v="1"/>
    <n v="2000000"/>
    <n v="48"/>
    <n v="48"/>
    <n v="48"/>
    <n v="0"/>
    <s v="insertIfAbsent"/>
    <n v="999526392529"/>
    <n v="999751"/>
    <n v="999526392529"/>
    <n v="999751"/>
    <s v="success"/>
    <n v="7"/>
    <n v="69109"/>
    <n v="1106829"/>
    <n v="1175938"/>
    <n v="999751"/>
    <n v="17.015699999999999"/>
    <n v="0.90325699999999998"/>
    <n v="1.8501700000000001"/>
    <n v="3.0785200000000001"/>
    <n v="23307536"/>
    <s v="3980 1471280 13957995 20260487"/>
    <s v="1489 1468141 13947056 20259533"/>
    <n v="1714807"/>
    <n v="192024"/>
    <n v="223720152231"/>
    <n v="1436560326442"/>
    <n v="1117219413"/>
    <n v="0"/>
    <n v="744793279"/>
    <n v="1117219413"/>
    <n v="1862012692"/>
    <n v="37240647"/>
    <n v="0"/>
    <n v="24826442"/>
    <n v="37240647"/>
    <n v="62067089"/>
    <n v="16.210999999999999"/>
    <n v="1.5411999999999999"/>
    <n v="2107.1799999999998"/>
    <n v="992.72500000000002"/>
    <n v="1267"/>
    <n v="31"/>
    <x v="0"/>
    <n v="1489"/>
    <n v="1468141"/>
    <n v="29.92834013420833"/>
    <n v="4.6608365048125"/>
    <n v="13947056"/>
    <n v="20259533"/>
    <n v="0"/>
  </r>
  <r>
    <s v="istree_exp6_rebuilding_time/step10023.txt"/>
    <s v="brown_ext_ist_lf"/>
    <n v="72"/>
    <s v="reclaimer_debra"/>
    <s v="allocator_new"/>
    <s v="pool_none"/>
    <n v="30000"/>
    <n v="20"/>
    <n v="20"/>
    <n v="0"/>
    <n v="1"/>
    <n v="2000000"/>
    <n v="96"/>
    <n v="96"/>
    <n v="96"/>
    <n v="0"/>
    <s v="insertIfAbsent"/>
    <n v="999523752146"/>
    <n v="999754"/>
    <n v="999523752146"/>
    <n v="999754"/>
    <s v="success"/>
    <n v="6"/>
    <n v="50041"/>
    <n v="1066162"/>
    <n v="1116203"/>
    <n v="999754"/>
    <n v="22.305800000000001"/>
    <n v="0.93771300000000002"/>
    <n v="1.89567"/>
    <n v="3.0349900000000001"/>
    <n v="21071536"/>
    <s v="5147 2878392 4989830 21174278"/>
    <s v="1833 2851068 4973996 21172192"/>
    <n v="7214114"/>
    <n v="64196"/>
    <n v="666083669741"/>
    <n v="2873120474341"/>
    <n v="1374120588"/>
    <n v="0"/>
    <n v="916087144"/>
    <n v="1374120588"/>
    <n v="2290207732"/>
    <n v="45804019"/>
    <n v="0"/>
    <n v="30536238"/>
    <n v="45804019"/>
    <n v="76340257"/>
    <n v="19.485700000000001"/>
    <n v="6.1402700000000001"/>
    <n v="3499.18"/>
    <n v="2338.1"/>
    <n v="1385"/>
    <n v="127"/>
    <x v="0"/>
    <n v="1833"/>
    <n v="2851068"/>
    <n v="29.928338274385414"/>
    <n v="6.938371559802083"/>
    <n v="4973996"/>
    <n v="21172192"/>
    <n v="0"/>
  </r>
  <r>
    <s v="istree_exp6_rebuilding_time/step10024.txt"/>
    <s v="brown_ext_ist_lf"/>
    <n v="72"/>
    <s v="reclaimer_debra"/>
    <s v="allocator_new"/>
    <s v="pool_none"/>
    <n v="30000"/>
    <n v="20"/>
    <n v="20"/>
    <n v="0"/>
    <n v="1"/>
    <n v="2000000"/>
    <n v="144"/>
    <n v="144"/>
    <n v="144"/>
    <n v="0"/>
    <s v="insertIfAbsent"/>
    <n v="1000525046476"/>
    <n v="1000318"/>
    <n v="1000525046476"/>
    <n v="1000318"/>
    <s v="success"/>
    <n v="6"/>
    <n v="52126"/>
    <n v="1071011"/>
    <n v="1123137"/>
    <n v="1000318"/>
    <n v="21.546600000000002"/>
    <n v="0.93399399999999999"/>
    <n v="1.8906499999999999"/>
    <n v="3.0396100000000001"/>
    <n v="21321696"/>
    <s v="5902 5918036 1065468 16459221"/>
    <s v="2027 5868252 1057664 16456629"/>
    <n v="18016616"/>
    <n v="32132"/>
    <n v="1324065873293"/>
    <n v="4309683436688"/>
    <n v="1519469771"/>
    <n v="0"/>
    <n v="1012948674"/>
    <n v="1519469771"/>
    <n v="2532418445"/>
    <n v="50648992"/>
    <n v="0"/>
    <n v="33764955"/>
    <n v="50648992"/>
    <n v="84413948"/>
    <n v="24.404699999999998"/>
    <n v="10.6334"/>
    <n v="4748.4799999999996"/>
    <n v="3449.3"/>
    <n v="1578"/>
    <n v="322"/>
    <x v="0"/>
    <n v="2027"/>
    <n v="5868252"/>
    <n v="29.928357199222223"/>
    <n v="9.194901897868057"/>
    <n v="1057664"/>
    <n v="16456629"/>
    <n v="0"/>
  </r>
  <r>
    <s v="istree_exp6_rebuilding_time/step10025.txt"/>
    <s v="brown_ext_ist_lf"/>
    <n v="72"/>
    <s v="reclaimer_debra"/>
    <s v="allocator_new"/>
    <s v="pool_none"/>
    <n v="30000"/>
    <n v="20"/>
    <n v="20"/>
    <n v="0"/>
    <n v="1"/>
    <n v="2000000"/>
    <n v="190"/>
    <n v="190"/>
    <n v="190"/>
    <n v="0"/>
    <s v="insertIfAbsent"/>
    <n v="1000146015992"/>
    <n v="999775"/>
    <n v="1000146015992"/>
    <n v="999775"/>
    <s v="success"/>
    <n v="6"/>
    <n v="34445"/>
    <n v="1034669"/>
    <n v="1069114"/>
    <n v="999775"/>
    <n v="31.0383"/>
    <n v="0.966275"/>
    <n v="1.9351400000000001"/>
    <n v="3.0028899999999998"/>
    <n v="19310368"/>
    <s v="7039 5465689 2660035 21790836"/>
    <s v="2325 5406915 2640738 21786755"/>
    <n v="24602084"/>
    <n v="20914"/>
    <n v="1783375384602"/>
    <n v="5686385184340"/>
    <n v="1741884255"/>
    <n v="0"/>
    <n v="1161264179"/>
    <n v="1741884255"/>
    <n v="2903148434"/>
    <n v="58062808"/>
    <n v="0"/>
    <n v="38708805"/>
    <n v="58062808"/>
    <n v="96771614"/>
    <n v="25.048200000000001"/>
    <n v="11.9564"/>
    <n v="5460.77"/>
    <n v="4158.99"/>
    <n v="1808"/>
    <n v="328"/>
    <x v="0"/>
    <n v="2325"/>
    <n v="5406915"/>
    <n v="29.928343075473684"/>
    <n v="9.3861862347473686"/>
    <n v="2640738"/>
    <n v="21786755"/>
    <n v="0"/>
  </r>
  <r>
    <s v="istree_exp6_rebuilding_time/step10026.txt"/>
    <s v="brown_ext_ist_lf"/>
    <n v="72"/>
    <s v="reclaimer_debra"/>
    <s v="allocator_new"/>
    <s v="pool_none"/>
    <n v="30000"/>
    <n v="20"/>
    <n v="20"/>
    <n v="0"/>
    <n v="1"/>
    <n v="200000000"/>
    <n v="24"/>
    <n v="24"/>
    <n v="24"/>
    <n v="0"/>
    <s v="insertIfAbsent"/>
    <n v="1.00001581681397E+16"/>
    <n v="100002099"/>
    <n v="1.00001581681397E+16"/>
    <n v="100002099"/>
    <s v="success"/>
    <n v="7"/>
    <n v="11011115"/>
    <n v="110003117"/>
    <n v="121014232"/>
    <n v="100002099"/>
    <n v="10.9902"/>
    <n v="0.909084"/>
    <n v="1.82637"/>
    <n v="4"/>
    <n v="2640939056"/>
    <s v="4 25494 1988705 16866571 2766165"/>
    <s v="4 25460 1988685 16866562 2766165"/>
    <n v="7434"/>
    <n v="183438"/>
    <n v="109491203672"/>
    <n v="718567949523"/>
    <n v="300010453"/>
    <n v="0"/>
    <n v="199989026"/>
    <n v="300010453"/>
    <n v="499999479"/>
    <n v="10000348"/>
    <n v="0"/>
    <n v="6666300"/>
    <n v="10000348"/>
    <n v="16666649"/>
    <n v="27.966799999999999"/>
    <n v="13.6622"/>
    <n v="3885.94"/>
    <n v="2838.67"/>
    <n v="12592"/>
    <n v="1528"/>
    <x v="1"/>
    <n v="4"/>
    <n v="25460"/>
    <n v="29.940331230125"/>
    <n v="4.5621334863333329"/>
    <n v="1988685"/>
    <n v="16866562"/>
    <n v="2766165"/>
  </r>
  <r>
    <s v="istree_exp6_rebuilding_time/step10027.txt"/>
    <s v="brown_ext_ist_lf"/>
    <n v="72"/>
    <s v="reclaimer_debra"/>
    <s v="allocator_new"/>
    <s v="pool_none"/>
    <n v="30000"/>
    <n v="20"/>
    <n v="20"/>
    <n v="0"/>
    <n v="1"/>
    <n v="200000000"/>
    <n v="48"/>
    <n v="48"/>
    <n v="48"/>
    <n v="0"/>
    <s v="insertIfAbsent"/>
    <n v="1.00000489110667E+16"/>
    <n v="100002955"/>
    <n v="1.00000489110667E+16"/>
    <n v="100002955"/>
    <s v="success"/>
    <n v="7"/>
    <n v="14724637"/>
    <n v="117742524"/>
    <n v="132467161"/>
    <n v="100002955"/>
    <n v="8.9962900000000001"/>
    <n v="0.84933599999999998"/>
    <n v="1.7549300000000001"/>
    <n v="4.0774499999999998"/>
    <n v="3065470160"/>
    <s v="11 51696 2820641 26328206 4447989"/>
    <s v="6 51614 2820589 26328165 4447986"/>
    <n v="31923"/>
    <n v="69338"/>
    <n v="242288971610"/>
    <n v="1436562748651"/>
    <n v="487201376"/>
    <n v="0"/>
    <n v="324821154"/>
    <n v="487201376"/>
    <n v="812022530"/>
    <n v="16240045"/>
    <n v="0"/>
    <n v="10827371"/>
    <n v="16240045"/>
    <n v="27067417"/>
    <n v="29.362500000000001"/>
    <n v="14.1593"/>
    <n v="4727.46"/>
    <n v="3482.18"/>
    <n v="13186"/>
    <n v="1306"/>
    <x v="1"/>
    <n v="6"/>
    <n v="51614"/>
    <n v="29.928390596895834"/>
    <n v="5.0476869085416665"/>
    <n v="2820589"/>
    <n v="26328165"/>
    <n v="4447986"/>
  </r>
  <r>
    <s v="istree_exp6_rebuilding_time/step10028.txt"/>
    <s v="brown_ext_ist_lf"/>
    <n v="72"/>
    <s v="reclaimer_debra"/>
    <s v="allocator_new"/>
    <s v="pool_none"/>
    <n v="30000"/>
    <n v="20"/>
    <n v="20"/>
    <n v="0"/>
    <n v="1"/>
    <n v="200000000"/>
    <n v="96"/>
    <n v="96"/>
    <n v="96"/>
    <n v="0"/>
    <s v="insertIfAbsent"/>
    <n v="1.00005340716121E+16"/>
    <n v="100005589"/>
    <n v="1.00005340716121E+16"/>
    <n v="100005589"/>
    <s v="success"/>
    <n v="7"/>
    <n v="14525500"/>
    <n v="117330324"/>
    <n v="131855824"/>
    <n v="100005589"/>
    <n v="9.0775400000000008"/>
    <n v="0.85234200000000004"/>
    <n v="1.7584500000000001"/>
    <n v="4.0708500000000001"/>
    <n v="3043197728"/>
    <s v="34 109108 4598296 47592535 8004255"/>
    <s v="11 109045 4598084 47592395 8004243"/>
    <n v="154558"/>
    <n v="30340"/>
    <n v="521851349893"/>
    <n v="2873123230677"/>
    <n v="889268932"/>
    <n v="0"/>
    <n v="592881814"/>
    <n v="889268932"/>
    <n v="1482150746"/>
    <n v="29642297"/>
    <n v="0"/>
    <n v="19762727"/>
    <n v="29642297"/>
    <n v="49405024"/>
    <n v="30.491399999999999"/>
    <n v="15.9055"/>
    <n v="5065.3"/>
    <n v="3706.17"/>
    <n v="13758"/>
    <n v="1067"/>
    <x v="1"/>
    <n v="11"/>
    <n v="109045"/>
    <n v="29.928366986218748"/>
    <n v="5.4359515613854166"/>
    <n v="4598084"/>
    <n v="47592395"/>
    <n v="8004243"/>
  </r>
  <r>
    <s v="istree_exp6_rebuilding_time/step10029.txt"/>
    <s v="brown_ext_ist_lf"/>
    <n v="72"/>
    <s v="reclaimer_debra"/>
    <s v="allocator_new"/>
    <s v="pool_none"/>
    <n v="30000"/>
    <n v="20"/>
    <n v="20"/>
    <n v="0"/>
    <n v="1"/>
    <n v="200000000"/>
    <n v="144"/>
    <n v="144"/>
    <n v="144"/>
    <n v="0"/>
    <s v="insertIfAbsent"/>
    <n v="1.00016543298819E+16"/>
    <n v="100014654"/>
    <n v="1.00016543298819E+16"/>
    <n v="100014654"/>
    <s v="success"/>
    <n v="7"/>
    <n v="14587413"/>
    <n v="117329974"/>
    <n v="131917387"/>
    <n v="100014654"/>
    <n v="9.0432299999999994"/>
    <n v="0.85242200000000001"/>
    <n v="1.7581599999999999"/>
    <n v="4.0726300000000002"/>
    <n v="3047387664"/>
    <s v="54 159965 5546275 63402721 10953986"/>
    <s v="16 159951 5545869 63402417 10953965"/>
    <n v="324988"/>
    <n v="17938"/>
    <n v="826977834045"/>
    <n v="4309681982375"/>
    <n v="1232088759"/>
    <n v="0"/>
    <n v="821400560"/>
    <n v="1232088759"/>
    <n v="2053489319"/>
    <n v="41069625"/>
    <n v="0"/>
    <n v="27380018"/>
    <n v="41069625"/>
    <n v="68449643"/>
    <n v="31.057500000000001"/>
    <n v="16.964099999999998"/>
    <n v="5358.45"/>
    <n v="3952.74"/>
    <n v="14172"/>
    <n v="1064"/>
    <x v="1"/>
    <n v="16"/>
    <n v="159951"/>
    <n v="29.928347099826389"/>
    <n v="5.7429016253125003"/>
    <n v="5545869"/>
    <n v="63402417"/>
    <n v="10953965"/>
  </r>
  <r>
    <s v="istree_exp6_rebuilding_time/step10030.txt"/>
    <s v="brown_ext_ist_lf"/>
    <n v="72"/>
    <s v="reclaimer_debra"/>
    <s v="allocator_new"/>
    <s v="pool_none"/>
    <n v="30000"/>
    <n v="20"/>
    <n v="20"/>
    <n v="0"/>
    <n v="1"/>
    <n v="200000000"/>
    <n v="190"/>
    <n v="190"/>
    <n v="190"/>
    <n v="0"/>
    <s v="insertIfAbsent"/>
    <n v="1.00006427214613E+16"/>
    <n v="100004649"/>
    <n v="1.00006427214613E+16"/>
    <n v="100004649"/>
    <s v="success"/>
    <n v="7"/>
    <n v="11084385"/>
    <n v="110152358"/>
    <n v="121236743"/>
    <n v="100004649"/>
    <n v="10.9376"/>
    <n v="0.90787600000000002"/>
    <n v="1.82487"/>
    <n v="4.0014700000000003"/>
    <n v="2649190384"/>
    <s v="77 199970 6884207 77736796 13311064"/>
    <s v="20 199953 6883558 77736277 13311033"/>
    <n v="517089"/>
    <n v="12786"/>
    <n v="1140147693626"/>
    <n v="5693091741835"/>
    <n v="1500630346"/>
    <n v="0"/>
    <n v="1000430592"/>
    <n v="1500630346"/>
    <n v="2501060938"/>
    <n v="50021011"/>
    <n v="0"/>
    <n v="33347686"/>
    <n v="50021011"/>
    <n v="83368697"/>
    <n v="31.565300000000001"/>
    <n v="17.658300000000001"/>
    <n v="5703.42"/>
    <n v="4207.79"/>
    <n v="14412"/>
    <n v="1143"/>
    <x v="1"/>
    <n v="20"/>
    <n v="199953"/>
    <n v="29.963640746500001"/>
    <n v="6.0007773348736846"/>
    <n v="6883558"/>
    <n v="77736277"/>
    <n v="13311033"/>
  </r>
  <r>
    <s v="istree_exp6_rebuilding_time/step10031.txt"/>
    <s v="brown_ext_ist_lf"/>
    <n v="72"/>
    <s v="reclaimer_debra"/>
    <s v="allocator_new"/>
    <s v="pool_none"/>
    <n v="30000"/>
    <n v="0.5"/>
    <n v="0.5"/>
    <n v="0"/>
    <n v="1"/>
    <n v="2000000"/>
    <n v="24"/>
    <n v="24"/>
    <n v="24"/>
    <n v="0"/>
    <s v="insertIfAbsent"/>
    <n v="1001477319582"/>
    <n v="1001637"/>
    <n v="1001477319582"/>
    <n v="1001637"/>
    <s v="success"/>
    <n v="6"/>
    <n v="83688"/>
    <n v="1138006"/>
    <n v="1221694"/>
    <n v="1001637"/>
    <n v="14.5982"/>
    <n v="0.88016799999999995"/>
    <n v="1.8198799999999999"/>
    <n v="3.1097800000000002"/>
    <n v="24997152"/>
    <s v="49 42242 610604 688313"/>
    <s v="47 42238 610600 688313"/>
    <n v="3666"/>
    <n v="881254"/>
    <n v="4385817972"/>
    <n v="718280249411"/>
    <n v="2355636915"/>
    <n v="0"/>
    <n v="23794270"/>
    <n v="2355636915"/>
    <n v="2379431185"/>
    <n v="78521230"/>
    <n v="0"/>
    <n v="793142"/>
    <n v="78521230"/>
    <n v="79314372"/>
    <n v="8.6137700000000006"/>
    <n v="0.101909"/>
    <n v="843.00300000000004"/>
    <n v="279.858"/>
    <n v="1186"/>
    <n v="27"/>
    <x v="2"/>
    <n v="47"/>
    <n v="42238"/>
    <n v="29.928343725458333"/>
    <n v="0.18274241550000001"/>
    <n v="610600"/>
    <n v="688313"/>
    <n v="0"/>
  </r>
  <r>
    <s v="istree_exp6_rebuilding_time/step10032.txt"/>
    <s v="brown_ext_ist_lf"/>
    <n v="72"/>
    <s v="reclaimer_debra"/>
    <s v="allocator_new"/>
    <s v="pool_none"/>
    <n v="30000"/>
    <n v="0.5"/>
    <n v="0.5"/>
    <n v="0"/>
    <n v="1"/>
    <n v="2000000"/>
    <n v="48"/>
    <n v="48"/>
    <n v="48"/>
    <n v="0"/>
    <s v="insertIfAbsent"/>
    <n v="1000040947126"/>
    <n v="999825"/>
    <n v="1000040947126"/>
    <n v="999825"/>
    <s v="success"/>
    <n v="6"/>
    <n v="80815"/>
    <n v="1131780"/>
    <n v="1212595"/>
    <n v="999825"/>
    <n v="15.0046"/>
    <n v="0.883409"/>
    <n v="1.82453"/>
    <n v="3.1044299999999998"/>
    <n v="24671552"/>
    <s v="78 72113 688373 1003207"/>
    <s v="73 72106 688343 1003201"/>
    <n v="16719"/>
    <n v="335120"/>
    <n v="10764473317"/>
    <n v="1436560503589"/>
    <n v="3645232293"/>
    <n v="0"/>
    <n v="36820131"/>
    <n v="3645232293"/>
    <n v="3682052424"/>
    <n v="121507743"/>
    <n v="0"/>
    <n v="1227337"/>
    <n v="121507743"/>
    <n v="122735080"/>
    <n v="8.4222599999999996"/>
    <n v="0.107781"/>
    <n v="1083.04"/>
    <n v="386.53"/>
    <n v="1215"/>
    <n v="32"/>
    <x v="2"/>
    <n v="73"/>
    <n v="72106"/>
    <n v="29.928343824770835"/>
    <n v="0.22425986077083335"/>
    <n v="688343"/>
    <n v="1003201"/>
    <n v="0"/>
  </r>
  <r>
    <s v="istree_exp6_rebuilding_time/step10033.txt"/>
    <s v="brown_ext_ist_lf"/>
    <n v="72"/>
    <s v="reclaimer_debra"/>
    <s v="allocator_new"/>
    <s v="pool_none"/>
    <n v="30000"/>
    <n v="0.5"/>
    <n v="0.5"/>
    <n v="0"/>
    <n v="1"/>
    <n v="2000000"/>
    <n v="96"/>
    <n v="96"/>
    <n v="96"/>
    <n v="0"/>
    <s v="insertIfAbsent"/>
    <n v="1000944647472"/>
    <n v="1000934"/>
    <n v="1000944647472"/>
    <n v="1000934"/>
    <s v="success"/>
    <n v="6"/>
    <n v="50782"/>
    <n v="1068632"/>
    <n v="1119414"/>
    <n v="1000934"/>
    <n v="22.043500000000002"/>
    <n v="0.93664999999999998"/>
    <n v="1.8941600000000001"/>
    <n v="3.0364499999999999"/>
    <n v="21171200"/>
    <s v="155 221404 382659 1628125"/>
    <s v="141 221207 382557 1628117"/>
    <n v="85959"/>
    <n v="161586"/>
    <n v="40704941120"/>
    <n v="2873121167337"/>
    <n v="6983375806"/>
    <n v="0"/>
    <n v="70520066"/>
    <n v="6983375806"/>
    <n v="7053895872"/>
    <n v="232779193"/>
    <n v="0"/>
    <n v="2350668"/>
    <n v="232779193"/>
    <n v="235129862"/>
    <n v="8.4478100000000005"/>
    <n v="0.24585199999999999"/>
    <n v="1129.9000000000001"/>
    <n v="413.19299999999998"/>
    <n v="1276"/>
    <n v="166"/>
    <x v="2"/>
    <n v="141"/>
    <n v="221207"/>
    <n v="29.928345493093747"/>
    <n v="0.42400980333333332"/>
    <n v="382557"/>
    <n v="1628117"/>
    <n v="0"/>
  </r>
  <r>
    <s v="istree_exp6_rebuilding_time/step10034.txt"/>
    <s v="brown_ext_ist_lf"/>
    <n v="72"/>
    <s v="reclaimer_debra"/>
    <s v="allocator_new"/>
    <s v="pool_none"/>
    <n v="30000"/>
    <n v="0.5"/>
    <n v="0.5"/>
    <n v="0"/>
    <n v="1"/>
    <n v="2000000"/>
    <n v="144"/>
    <n v="144"/>
    <n v="144"/>
    <n v="0"/>
    <s v="insertIfAbsent"/>
    <n v="999632532326"/>
    <n v="999318"/>
    <n v="999632532326"/>
    <n v="999318"/>
    <s v="success"/>
    <n v="6"/>
    <n v="51272"/>
    <n v="1068252"/>
    <n v="1119524"/>
    <n v="999318"/>
    <n v="21.835000000000001"/>
    <n v="0.93547000000000002"/>
    <n v="1.89263"/>
    <n v="3.0379900000000002"/>
    <n v="21208992"/>
    <s v="225 592715 106764 1652020"/>
    <s v="203 592290 106709 1651996"/>
    <n v="209628"/>
    <n v="104310"/>
    <n v="82995376981"/>
    <n v="4309682336944"/>
    <n v="10067432173"/>
    <n v="0"/>
    <n v="101682229"/>
    <n v="10067432173"/>
    <n v="10169114402"/>
    <n v="335581072"/>
    <n v="0"/>
    <n v="3389407"/>
    <n v="335581072"/>
    <n v="338970480"/>
    <n v="8.5645500000000006"/>
    <n v="0.35661300000000001"/>
    <n v="1161.3599999999999"/>
    <n v="430.83"/>
    <n v="1347"/>
    <n v="269"/>
    <x v="2"/>
    <n v="203"/>
    <n v="592290"/>
    <n v="29.928349562111109"/>
    <n v="0.57635678459027784"/>
    <n v="106709"/>
    <n v="1651996"/>
    <n v="0"/>
  </r>
  <r>
    <s v="istree_exp6_rebuilding_time/step10035.txt"/>
    <s v="brown_ext_ist_lf"/>
    <n v="72"/>
    <s v="reclaimer_debra"/>
    <s v="allocator_new"/>
    <s v="pool_none"/>
    <n v="30000"/>
    <n v="0.5"/>
    <n v="0.5"/>
    <n v="0"/>
    <n v="1"/>
    <n v="2000000"/>
    <n v="190"/>
    <n v="190"/>
    <n v="190"/>
    <n v="0"/>
    <s v="insertIfAbsent"/>
    <n v="1000577463439"/>
    <n v="1000167"/>
    <n v="1000577463439"/>
    <n v="1000167"/>
    <s v="success"/>
    <n v="6"/>
    <n v="54556"/>
    <n v="1075715"/>
    <n v="1130271"/>
    <n v="1000167"/>
    <n v="20.717600000000001"/>
    <n v="0.92976999999999999"/>
    <n v="1.88489"/>
    <n v="3.0450200000000001"/>
    <n v="21596944"/>
    <s v="296 614265 299145 2454456"/>
    <s v="261 613685 298933 2454412"/>
    <n v="316560"/>
    <n v="91244"/>
    <n v="118387313946"/>
    <n v="5686387027723"/>
    <n v="12948445771"/>
    <n v="0"/>
    <n v="130787092"/>
    <n v="12948445771"/>
    <n v="13079232863"/>
    <n v="431614859"/>
    <n v="0"/>
    <n v="4359569"/>
    <n v="431614859"/>
    <n v="435974428"/>
    <n v="8.6744900000000005"/>
    <n v="0.41315000000000002"/>
    <n v="1192.75"/>
    <n v="456.24200000000002"/>
    <n v="1424"/>
    <n v="257"/>
    <x v="2"/>
    <n v="261"/>
    <n v="613685"/>
    <n v="29.928352777489472"/>
    <n v="0.62309112603157901"/>
    <n v="298933"/>
    <n v="2454412"/>
    <n v="0"/>
  </r>
  <r>
    <s v="istree_exp6_rebuilding_time/step10036.txt"/>
    <s v="brown_ext_ist_lf"/>
    <n v="72"/>
    <s v="reclaimer_debra"/>
    <s v="allocator_new"/>
    <s v="pool_none"/>
    <n v="30000"/>
    <n v="0.5"/>
    <n v="0.5"/>
    <n v="0"/>
    <n v="1"/>
    <n v="200000000"/>
    <n v="24"/>
    <n v="24"/>
    <n v="24"/>
    <n v="0"/>
    <s v="insertIfAbsent"/>
    <n v="9999207349622380"/>
    <n v="99999931"/>
    <n v="9999207349622380"/>
    <n v="99999931"/>
    <s v="success"/>
    <n v="7"/>
    <n v="12919499"/>
    <n v="113870935"/>
    <n v="126790434"/>
    <n v="99999931"/>
    <n v="9.8138799999999993"/>
    <n v="0.87818700000000005"/>
    <n v="1.7887"/>
    <n v="4.0390499999999996"/>
    <n v="2856450256"/>
    <s v="0 0 0 109343 68422"/>
    <s v="0 0 0 109343 68422"/>
    <m/>
    <n v="319810"/>
    <n v="264682298"/>
    <n v="718280274272"/>
    <n v="860473445"/>
    <n v="0"/>
    <n v="8691339"/>
    <n v="860473445"/>
    <n v="869164784"/>
    <n v="28682448"/>
    <n v="0"/>
    <n v="289711"/>
    <n v="28682448"/>
    <n v="28972159"/>
    <n v="18.8581"/>
    <n v="8.1901899999999994"/>
    <n v="2309.61"/>
    <n v="1730.02"/>
    <n v="7282"/>
    <n v="1550"/>
    <x v="3"/>
    <n v="0"/>
    <n v="0"/>
    <n v="29.928344761333335"/>
    <n v="1.1028429083333333E-2"/>
    <n v="0"/>
    <n v="109343"/>
    <n v="68422"/>
  </r>
  <r>
    <s v="istree_exp6_rebuilding_time/step10037.txt"/>
    <s v="brown_ext_ist_lf"/>
    <n v="72"/>
    <s v="reclaimer_debra"/>
    <s v="allocator_new"/>
    <s v="pool_none"/>
    <n v="30000"/>
    <n v="0.5"/>
    <n v="0.5"/>
    <n v="0"/>
    <n v="1"/>
    <n v="200000000"/>
    <n v="48"/>
    <n v="48"/>
    <n v="48"/>
    <n v="0"/>
    <s v="insertIfAbsent"/>
    <n v="1.00001486957914E+16"/>
    <n v="100003523"/>
    <n v="1.00001486957914E+16"/>
    <n v="100003523"/>
    <s v="success"/>
    <n v="7"/>
    <n v="13901236"/>
    <n v="115930068"/>
    <n v="129831304"/>
    <n v="100003523"/>
    <n v="9.3395499999999991"/>
    <n v="0.86261900000000002"/>
    <n v="1.7702599999999999"/>
    <n v="4.0597200000000004"/>
    <n v="2969088096"/>
    <s v="0 0 1 453142 168362"/>
    <s v="0 0 1 453142 168362"/>
    <m/>
    <n v="137352"/>
    <n v="1239079682"/>
    <n v="1436560588460"/>
    <n v="1506601760"/>
    <n v="0"/>
    <n v="15219226"/>
    <n v="1506601760"/>
    <n v="1521820986"/>
    <n v="50220058"/>
    <n v="0"/>
    <n v="507307"/>
    <n v="50220058"/>
    <n v="50727366"/>
    <n v="18.900500000000001"/>
    <n v="8.2764699999999998"/>
    <n v="2635.55"/>
    <n v="1957.25"/>
    <n v="7480"/>
    <n v="1269"/>
    <x v="3"/>
    <n v="0"/>
    <n v="0"/>
    <n v="29.928345592916667"/>
    <n v="2.5814160041666669E-2"/>
    <n v="1"/>
    <n v="453142"/>
    <n v="168362"/>
  </r>
  <r>
    <s v="istree_exp6_rebuilding_time/step10038.txt"/>
    <s v="brown_ext_ist_lf"/>
    <n v="72"/>
    <s v="reclaimer_debra"/>
    <s v="allocator_new"/>
    <s v="pool_none"/>
    <n v="30000"/>
    <n v="0.5"/>
    <n v="0.5"/>
    <n v="0"/>
    <n v="1"/>
    <n v="200000000"/>
    <n v="96"/>
    <n v="96"/>
    <n v="96"/>
    <n v="0"/>
    <s v="insertIfAbsent"/>
    <n v="1.0000846283785E+16"/>
    <n v="100002028"/>
    <n v="1.0000846283785E+16"/>
    <n v="100002028"/>
    <s v="success"/>
    <n v="7"/>
    <n v="14932806"/>
    <n v="118226859"/>
    <n v="133159665"/>
    <n v="100002028"/>
    <n v="8.9172600000000006"/>
    <n v="0.84584899999999996"/>
    <n v="1.75099"/>
    <n v="4.0819099999999997"/>
    <n v="3090441328"/>
    <s v="0 0 15984 2058323 425988"/>
    <s v="0 0 15984 2058323 425988"/>
    <n v="1"/>
    <n v="67894"/>
    <n v="5736329351"/>
    <n v="2873121619978"/>
    <n v="3005759702"/>
    <n v="0"/>
    <n v="30361514"/>
    <n v="3005759702"/>
    <n v="3036121216"/>
    <n v="100191990"/>
    <n v="0"/>
    <n v="1012050"/>
    <n v="100191990"/>
    <n v="101204040"/>
    <n v="19.207999999999998"/>
    <n v="9.1628299999999996"/>
    <n v="2640.25"/>
    <n v="1912.41"/>
    <n v="7906"/>
    <n v="1098"/>
    <x v="3"/>
    <n v="0"/>
    <n v="0"/>
    <n v="29.928350208104167"/>
    <n v="5.9753430739583335E-2"/>
    <n v="15984"/>
    <n v="2058323"/>
    <n v="425988"/>
  </r>
  <r>
    <s v="istree_exp6_rebuilding_time/step10039.txt"/>
    <s v="brown_ext_ist_lf"/>
    <n v="72"/>
    <s v="reclaimer_debra"/>
    <s v="allocator_new"/>
    <s v="pool_none"/>
    <n v="30000"/>
    <n v="0.5"/>
    <n v="0.5"/>
    <n v="0"/>
    <n v="1"/>
    <n v="200000000"/>
    <n v="144"/>
    <n v="144"/>
    <n v="144"/>
    <n v="0"/>
    <s v="insertIfAbsent"/>
    <n v="1.00009743096457E+16"/>
    <n v="100006999"/>
    <n v="1.00009743096457E+16"/>
    <n v="100006999"/>
    <s v="success"/>
    <n v="7"/>
    <n v="13666195"/>
    <n v="115492801"/>
    <n v="129158996"/>
    <n v="100006999"/>
    <n v="9.4509799999999995"/>
    <n v="0.86591499999999999"/>
    <n v="1.7742899999999999"/>
    <n v="4.05274"/>
    <n v="2943994576"/>
    <s v="0 2503 308420 3765202 628857"/>
    <s v="0 2503 308420 3765202 628857"/>
    <n v="521"/>
    <n v="43472"/>
    <n v="19778341790"/>
    <n v="4309985426011"/>
    <n v="4413863901"/>
    <n v="0"/>
    <n v="44585352"/>
    <n v="4413863901"/>
    <n v="4458449253"/>
    <n v="147128796"/>
    <n v="0"/>
    <n v="1486178"/>
    <n v="147128796"/>
    <n v="148614975"/>
    <n v="19.338200000000001"/>
    <n v="9.4649699999999992"/>
    <n v="2689.44"/>
    <n v="1944.87"/>
    <n v="8915"/>
    <n v="1112"/>
    <x v="3"/>
    <n v="0"/>
    <n v="2503"/>
    <n v="29.930454347298607"/>
    <n v="0.13734959576388889"/>
    <n v="308420"/>
    <n v="3765202"/>
    <n v="628857"/>
  </r>
  <r>
    <s v="istree_exp6_rebuilding_time/step10040.txt"/>
    <s v="brown_ext_ist_lf"/>
    <n v="72"/>
    <s v="reclaimer_debra"/>
    <s v="allocator_new"/>
    <s v="pool_none"/>
    <n v="30000"/>
    <n v="0.5"/>
    <n v="0.5"/>
    <n v="0"/>
    <n v="1"/>
    <n v="200000000"/>
    <n v="190"/>
    <n v="190"/>
    <n v="190"/>
    <n v="0"/>
    <s v="insertIfAbsent"/>
    <n v="9999957715497090"/>
    <n v="99995368"/>
    <n v="9999957715497090"/>
    <n v="99995368"/>
    <s v="success"/>
    <n v="7"/>
    <n v="12641702"/>
    <n v="113296948"/>
    <n v="125938650"/>
    <n v="99995368"/>
    <n v="9.9621600000000008"/>
    <n v="0.88259500000000002"/>
    <n v="1.794"/>
    <n v="4.03329"/>
    <n v="2824800256"/>
    <s v="1 9998 344914 3955498 716659"/>
    <s v="1 9998 344910 3955497 716659"/>
    <n v="4192"/>
    <n v="32812"/>
    <n v="113829531825"/>
    <n v="5686388141137"/>
    <n v="5664588555"/>
    <n v="0"/>
    <n v="57227967"/>
    <n v="5664588555"/>
    <n v="5721816522"/>
    <n v="188819618"/>
    <n v="0"/>
    <n v="1907598"/>
    <n v="188819618"/>
    <n v="190727217"/>
    <n v="19.435400000000001"/>
    <n v="9.5752199999999998"/>
    <n v="2718.48"/>
    <n v="1969.77"/>
    <n v="13380"/>
    <n v="1145"/>
    <x v="3"/>
    <n v="1"/>
    <n v="9998"/>
    <n v="29.928358637563161"/>
    <n v="0.59910279907894737"/>
    <n v="344910"/>
    <n v="3955497"/>
    <n v="716659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4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Other2" cacheId="306" applyNumberFormats="0" applyBorderFormats="0" applyFontFormats="0" applyPatternFormats="0" applyAlignmentFormats="0" applyWidthHeightFormats="1" dataCaption="Values" updatedVersion="6" minRefreshableVersion="3" asteriskTotals="1" rowGrandTotals="0" colGrandTotals="0" itemPrintTitles="1" createdVersion="5" indent="0" outline="1" outlineData="1" multipleFieldFilters="0" chartFormat="7">
  <location ref="E44:F49" firstHeaderRow="1" firstDataRow="1" firstDataCol="1" rowPageCount="1" colPageCount="1"/>
  <pivotFields count="59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5">
        <item x="4"/>
        <item x="1"/>
        <item x="0"/>
        <item x="2"/>
        <item x="3"/>
      </items>
    </pivotField>
    <pivotField dataField="1" showAll="0" defaultSubtotal="0"/>
    <pivotField showAll="0" defaultSubtotal="0"/>
    <pivotField showAll="0" defaultSubtotal="0"/>
    <pivotField showAll="0" defaultSubtotal="0"/>
  </pivotFields>
  <rowFields count="1">
    <field x="13"/>
  </rowFields>
  <rowItems count="5">
    <i>
      <x v="1"/>
    </i>
    <i>
      <x v="2"/>
    </i>
    <i>
      <x v="3"/>
    </i>
    <i>
      <x v="4"/>
    </i>
    <i>
      <x v="5"/>
    </i>
  </rowItems>
  <colItems count="1">
    <i/>
  </colItems>
  <pageFields count="1">
    <pageField fld="54" item="2" hier="-1"/>
  </pageFields>
  <dataFields count="1">
    <dataField name="Average of depth0_rebuild_count" fld="55" subtotal="average" baseField="1" baseItem="1" numFmtId="1"/>
  </dataFields>
  <formats count="8"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Other" cacheId="306" applyNumberFormats="0" applyBorderFormats="0" applyFontFormats="0" applyPatternFormats="0" applyAlignmentFormats="0" applyWidthHeightFormats="1" dataCaption="Values" updatedVersion="6" minRefreshableVersion="3" asteriskTotals="1" rowGrandTotals="0" colGrandTotals="0" itemPrintTitles="1" createdVersion="5" indent="0" outline="1" outlineData="1" multipleFieldFilters="0" chartFormat="7">
  <location ref="A44:B49" firstHeaderRow="1" firstDataRow="1" firstDataCol="1" rowPageCount="1" colPageCount="1"/>
  <pivotFields count="59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5">
        <item x="4"/>
        <item x="1"/>
        <item x="0"/>
        <item x="2"/>
        <item x="3"/>
      </items>
    </pivotField>
    <pivotField showAll="0" defaultSubtotal="0"/>
    <pivotField showAll="0" defaultSubtotal="0"/>
    <pivotField showAll="0" defaultSubtotal="0"/>
    <pivotField dataField="1" showAll="0" defaultSubtotal="0"/>
  </pivotFields>
  <rowFields count="1">
    <field x="13"/>
  </rowFields>
  <rowItems count="5">
    <i>
      <x v="1"/>
    </i>
    <i>
      <x v="2"/>
    </i>
    <i>
      <x v="3"/>
    </i>
    <i>
      <x v="4"/>
    </i>
    <i>
      <x v="5"/>
    </i>
  </rowItems>
  <colItems count="1">
    <i/>
  </colItems>
  <pageFields count="1">
    <pageField fld="54" item="2" hier="-1"/>
  </pageFields>
  <dataFields count="1">
    <dataField name="Average of rebuild_time_sec_div_threads" fld="58" subtotal="average" baseField="1" baseItem="1"/>
  </dataFields>
  <formats count="2">
    <format dxfId="9">
      <pivotArea outline="0" collapsedLevelsAreSubtotals="1" fieldPosition="0"/>
    </format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Main" cacheId="306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outline="1" outlineData="1" multipleFieldFilters="0" chartFormat="7">
  <location ref="A4:B9" firstHeaderRow="1" firstDataRow="1" firstDataCol="1" rowPageCount="1" colPageCount="1"/>
  <pivotFields count="59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5">
        <item x="4"/>
        <item x="1"/>
        <item x="0"/>
        <item x="2"/>
        <item x="3"/>
      </items>
    </pivotField>
    <pivotField showAll="0" defaultSubtotal="0"/>
    <pivotField showAll="0" defaultSubtotal="0"/>
    <pivotField dataField="1" showAll="0" defaultSubtotal="0"/>
    <pivotField showAll="0" defaultSubtotal="0"/>
  </pivotFields>
  <rowFields count="1">
    <field x="13"/>
  </rowFields>
  <rowItems count="5">
    <i>
      <x v="1"/>
    </i>
    <i>
      <x v="2"/>
    </i>
    <i>
      <x v="3"/>
    </i>
    <i>
      <x v="4"/>
    </i>
    <i>
      <x v="5"/>
    </i>
  </rowItems>
  <colItems count="1">
    <i/>
  </colItems>
  <pageFields count="1">
    <pageField fld="54" item="2" hier="-1"/>
  </pageFields>
  <dataFields count="1">
    <dataField name="Average of total_time_sec_div_threads" fld="57" subtotal="average" baseField="1" baseItem="1"/>
  </dataFields>
  <formats count="2">
    <format dxfId="11">
      <pivotArea outline="0" collapsedLevelsAreSubtotals="1" fieldPosition="0"/>
    </format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309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>
  <location ref="B1:G5" firstHeaderRow="0" firstDataRow="1" firstDataCol="1"/>
  <pivotFields count="6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2"/>
        <item x="3"/>
        <item x="0"/>
        <item x="1"/>
        <item h="1" x="4"/>
        <item t="default"/>
      </items>
    </pivotField>
    <pivotField dataField="1" showAll="0"/>
    <pivotField dataField="1" showAll="0"/>
    <pivotField showAll="0"/>
    <pivotField showAll="0"/>
    <pivotField dataField="1" showAll="0" defaultSubtotal="0"/>
    <pivotField dataField="1" showAll="0" defaultSubtotal="0"/>
    <pivotField dataField="1" showAll="0" defaultSubtotal="0"/>
  </pivotFields>
  <rowFields count="1">
    <field x="54"/>
  </rowFields>
  <rowItems count="4">
    <i>
      <x/>
    </i>
    <i>
      <x v="1"/>
    </i>
    <i>
      <x v="2"/>
    </i>
    <i>
      <x v="3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depth0_rebuild_count" fld="55" subtotal="average" baseField="54" baseItem="0"/>
    <dataField name="Average of depth1_rebuild_count" fld="56" subtotal="average" baseField="54" baseItem="0"/>
    <dataField name="Average of depth2_rebuild_count" fld="59" subtotal="average" baseField="54" baseItem="0"/>
    <dataField name="Average of depth3_rebuild_count" fld="60" subtotal="average" baseField="54" baseItem="0"/>
    <dataField name="Average of depth4_rebuild_count" fld="61" subtotal="average" baseField="5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4" growShrinkType="overwriteClear" connectionId="3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1" growShrinkType="overwriteClear" connectionId="5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3" growShrinkType="overwriteClear" connectionId="2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5" growShrinkType="overwriteClear" connectionId="4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849DB8"/>
      </a:dk1>
      <a:lt1>
        <a:sysClr val="window" lastClr="2D3640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0"/>
  <sheetViews>
    <sheetView workbookViewId="0">
      <selection activeCell="C17" sqref="C17"/>
    </sheetView>
  </sheetViews>
  <sheetFormatPr defaultRowHeight="14.6"/>
  <cols>
    <col min="1" max="1" width="8.23046875" customWidth="1"/>
    <col min="5" max="5" width="8.69140625" customWidth="1"/>
    <col min="7" max="7" width="8.69140625" customWidth="1"/>
  </cols>
  <sheetData>
    <row r="1" spans="1:3" s="5" customFormat="1" ht="20.6">
      <c r="A1" s="4" t="s">
        <v>1</v>
      </c>
    </row>
    <row r="2" spans="1:3" s="5" customFormat="1" ht="20.6">
      <c r="A2" s="4">
        <v>1</v>
      </c>
      <c r="B2" s="5" t="s">
        <v>12</v>
      </c>
    </row>
    <row r="3" spans="1:3" s="5" customFormat="1" ht="20.6">
      <c r="A3" s="4">
        <v>2</v>
      </c>
      <c r="B3" s="5" t="s">
        <v>6</v>
      </c>
    </row>
    <row r="4" spans="1:3" s="5" customFormat="1" ht="20.6">
      <c r="A4" s="4"/>
      <c r="B4" s="5" t="s">
        <v>5</v>
      </c>
    </row>
    <row r="5" spans="1:3" s="5" customFormat="1" ht="20.6">
      <c r="B5" s="5" t="s">
        <v>9</v>
      </c>
    </row>
    <row r="6" spans="1:3" s="5" customFormat="1" ht="20.6">
      <c r="B6" s="5" t="s">
        <v>10</v>
      </c>
    </row>
    <row r="7" spans="1:3" s="5" customFormat="1" ht="20.6">
      <c r="A7" s="5">
        <v>3</v>
      </c>
      <c r="B7" s="5" t="s">
        <v>11</v>
      </c>
    </row>
    <row r="8" spans="1:3" s="5" customFormat="1" ht="20.6">
      <c r="A8" s="4">
        <v>4</v>
      </c>
      <c r="B8" s="5" t="s">
        <v>2</v>
      </c>
    </row>
    <row r="9" spans="1:3" s="5" customFormat="1" ht="20.6">
      <c r="A9"/>
      <c r="B9" s="5" t="s">
        <v>3</v>
      </c>
      <c r="C9"/>
    </row>
    <row r="10" spans="1:3" ht="20.6">
      <c r="A10" s="4"/>
      <c r="B10" s="5" t="s">
        <v>4</v>
      </c>
    </row>
    <row r="12" spans="1:3" ht="20.6">
      <c r="A12" s="11" t="s">
        <v>201</v>
      </c>
      <c r="B12" s="5" t="s">
        <v>200</v>
      </c>
    </row>
    <row r="13" spans="1:3" ht="20.6">
      <c r="B13" s="5" t="s">
        <v>7</v>
      </c>
    </row>
    <row r="20" spans="2:2">
      <c r="B2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J41"/>
  <sheetViews>
    <sheetView workbookViewId="0"/>
  </sheetViews>
  <sheetFormatPr defaultRowHeight="14.6"/>
  <cols>
    <col min="1" max="1" width="37" bestFit="1" customWidth="1"/>
    <col min="2" max="2" width="14.84375" bestFit="1" customWidth="1"/>
    <col min="3" max="3" width="9.07421875" customWidth="1"/>
    <col min="4" max="4" width="14.3828125" bestFit="1" customWidth="1"/>
    <col min="5" max="5" width="12.53515625" customWidth="1"/>
    <col min="6" max="6" width="9.765625" customWidth="1"/>
    <col min="7" max="7" width="14.3046875" bestFit="1" customWidth="1"/>
    <col min="8" max="8" width="3.84375" bestFit="1" customWidth="1"/>
    <col min="9" max="9" width="3.921875" bestFit="1" customWidth="1"/>
    <col min="10" max="10" width="3.3046875" bestFit="1" customWidth="1"/>
    <col min="11" max="11" width="6.69140625" bestFit="1" customWidth="1"/>
    <col min="12" max="12" width="9.84375" bestFit="1" customWidth="1"/>
    <col min="13" max="13" width="15.765625" customWidth="1"/>
    <col min="14" max="14" width="14.84375" customWidth="1"/>
    <col min="15" max="15" width="14.765625" customWidth="1"/>
    <col min="16" max="16" width="11.921875" customWidth="1"/>
    <col min="17" max="17" width="12.4609375" customWidth="1"/>
    <col min="18" max="18" width="19.07421875" bestFit="1" customWidth="1"/>
    <col min="19" max="19" width="15.69140625" customWidth="1"/>
    <col min="20" max="20" width="11.84375" bestFit="1" customWidth="1"/>
    <col min="21" max="21" width="9.84375" bestFit="1" customWidth="1"/>
    <col min="22" max="22" width="13.07421875" customWidth="1"/>
    <col min="23" max="23" width="15.3828125" customWidth="1"/>
    <col min="24" max="24" width="21.3046875" customWidth="1"/>
    <col min="25" max="25" width="19.4609375" customWidth="1"/>
    <col min="26" max="26" width="19.23046875" customWidth="1"/>
    <col min="27" max="27" width="17.765625" bestFit="1" customWidth="1"/>
    <col min="28" max="28" width="25.4609375" bestFit="1" customWidth="1"/>
    <col min="29" max="29" width="24.3828125" bestFit="1" customWidth="1"/>
    <col min="30" max="30" width="18.84375" customWidth="1"/>
    <col min="31" max="31" width="21.15234375" customWidth="1"/>
    <col min="32" max="32" width="19.3046875" bestFit="1" customWidth="1"/>
    <col min="33" max="33" width="36.69140625" bestFit="1" customWidth="1"/>
    <col min="34" max="34" width="42.3046875" customWidth="1"/>
    <col min="35" max="35" width="26.15234375" customWidth="1"/>
    <col min="36" max="36" width="35.765625" customWidth="1"/>
    <col min="37" max="37" width="29.61328125" customWidth="1"/>
    <col min="38" max="38" width="23.4609375" customWidth="1"/>
    <col min="39" max="39" width="11.84375" bestFit="1" customWidth="1"/>
    <col min="40" max="40" width="7.4609375" customWidth="1"/>
    <col min="41" max="41" width="12.3046875" customWidth="1"/>
    <col min="42" max="43" width="11.84375" bestFit="1" customWidth="1"/>
    <col min="44" max="44" width="14.61328125" bestFit="1" customWidth="1"/>
    <col min="45" max="45" width="13.15234375" bestFit="1" customWidth="1"/>
    <col min="46" max="46" width="17.3046875" bestFit="1" customWidth="1"/>
    <col min="47" max="47" width="16.15234375" bestFit="1" customWidth="1"/>
    <col min="48" max="48" width="15.23046875" customWidth="1"/>
    <col min="49" max="50" width="12.15234375" bestFit="1" customWidth="1"/>
    <col min="51" max="51" width="13.07421875" bestFit="1" customWidth="1"/>
    <col min="52" max="52" width="12.3046875" bestFit="1" customWidth="1"/>
    <col min="53" max="53" width="14.765625" bestFit="1" customWidth="1"/>
    <col min="54" max="54" width="16.3828125" bestFit="1" customWidth="1"/>
    <col min="58" max="58" width="11.84375" bestFit="1" customWidth="1"/>
  </cols>
  <sheetData>
    <row r="1" spans="1:62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61</v>
      </c>
      <c r="S1" t="s">
        <v>62</v>
      </c>
      <c r="T1" t="s">
        <v>40</v>
      </c>
      <c r="U1" t="s">
        <v>63</v>
      </c>
      <c r="V1" t="s">
        <v>64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68</v>
      </c>
      <c r="AG1" t="s">
        <v>69</v>
      </c>
      <c r="AH1" t="s">
        <v>70</v>
      </c>
      <c r="AI1" t="s">
        <v>71</v>
      </c>
      <c r="AJ1" t="s">
        <v>72</v>
      </c>
      <c r="AK1" t="s">
        <v>73</v>
      </c>
      <c r="AL1" t="s">
        <v>74</v>
      </c>
      <c r="AM1" t="s">
        <v>41</v>
      </c>
      <c r="AN1" t="s">
        <v>42</v>
      </c>
      <c r="AO1" t="s">
        <v>43</v>
      </c>
      <c r="AP1" t="s">
        <v>44</v>
      </c>
      <c r="AQ1" t="s">
        <v>45</v>
      </c>
      <c r="AR1" t="s">
        <v>46</v>
      </c>
      <c r="AS1" t="s">
        <v>47</v>
      </c>
      <c r="AT1" t="s">
        <v>48</v>
      </c>
      <c r="AU1" t="s">
        <v>49</v>
      </c>
      <c r="AV1" t="s">
        <v>50</v>
      </c>
      <c r="AW1" t="s">
        <v>51</v>
      </c>
      <c r="AX1" t="s">
        <v>52</v>
      </c>
      <c r="AY1" t="s">
        <v>53</v>
      </c>
      <c r="AZ1" t="s">
        <v>75</v>
      </c>
      <c r="BA1" t="s">
        <v>66</v>
      </c>
      <c r="BB1" t="s">
        <v>67</v>
      </c>
      <c r="BC1" t="s">
        <v>59</v>
      </c>
      <c r="BD1" t="s">
        <v>83</v>
      </c>
      <c r="BE1" t="s">
        <v>82</v>
      </c>
      <c r="BF1" t="s">
        <v>85</v>
      </c>
      <c r="BG1" t="s">
        <v>86</v>
      </c>
      <c r="BH1" t="s">
        <v>203</v>
      </c>
      <c r="BI1" t="s">
        <v>204</v>
      </c>
      <c r="BJ1" t="s">
        <v>205</v>
      </c>
    </row>
    <row r="2" spans="1:62">
      <c r="A2" t="s">
        <v>77</v>
      </c>
      <c r="B2" t="s">
        <v>57</v>
      </c>
      <c r="C2">
        <v>72</v>
      </c>
      <c r="D2" t="s">
        <v>58</v>
      </c>
      <c r="E2" t="s">
        <v>54</v>
      </c>
      <c r="F2" t="s">
        <v>55</v>
      </c>
      <c r="G2">
        <v>30000</v>
      </c>
      <c r="H2">
        <v>20</v>
      </c>
      <c r="I2">
        <v>20</v>
      </c>
      <c r="J2">
        <v>0</v>
      </c>
      <c r="K2">
        <v>1</v>
      </c>
      <c r="L2">
        <v>2000000</v>
      </c>
      <c r="M2">
        <v>24</v>
      </c>
      <c r="N2">
        <v>24</v>
      </c>
      <c r="O2">
        <v>24</v>
      </c>
      <c r="P2">
        <v>0</v>
      </c>
      <c r="Q2" t="s">
        <v>56</v>
      </c>
      <c r="R2">
        <v>1000572364470</v>
      </c>
      <c r="S2">
        <v>1000708</v>
      </c>
      <c r="T2">
        <v>1000572364470</v>
      </c>
      <c r="U2">
        <v>1000708</v>
      </c>
      <c r="V2" t="s">
        <v>65</v>
      </c>
      <c r="W2">
        <v>6</v>
      </c>
      <c r="X2">
        <v>50330</v>
      </c>
      <c r="Y2">
        <v>1068357</v>
      </c>
      <c r="Z2">
        <v>1118687</v>
      </c>
      <c r="AA2">
        <v>1000708</v>
      </c>
      <c r="AB2">
        <v>22.227</v>
      </c>
      <c r="AC2">
        <v>0.93667900000000004</v>
      </c>
      <c r="AD2">
        <v>1.8945399999999999</v>
      </c>
      <c r="AE2">
        <v>3.0365799999999998</v>
      </c>
      <c r="AF2">
        <v>21143136</v>
      </c>
      <c r="AG2" t="s">
        <v>91</v>
      </c>
      <c r="AH2" t="s">
        <v>92</v>
      </c>
      <c r="AI2">
        <v>428816</v>
      </c>
      <c r="AJ2">
        <v>530574</v>
      </c>
      <c r="AK2">
        <v>89841285765</v>
      </c>
      <c r="AL2">
        <v>718278690000</v>
      </c>
      <c r="AM2">
        <v>783066057</v>
      </c>
      <c r="AN2">
        <v>0</v>
      </c>
      <c r="AO2">
        <v>522038304</v>
      </c>
      <c r="AP2">
        <v>783066057</v>
      </c>
      <c r="AQ2">
        <v>1305104361</v>
      </c>
      <c r="AR2">
        <v>26102201</v>
      </c>
      <c r="AS2">
        <v>0</v>
      </c>
      <c r="AT2">
        <v>17401276</v>
      </c>
      <c r="AU2">
        <v>26102201</v>
      </c>
      <c r="AV2">
        <v>43503478</v>
      </c>
      <c r="AW2">
        <v>15.7529</v>
      </c>
      <c r="AX2">
        <v>1.05504</v>
      </c>
      <c r="AY2">
        <v>1535.72</v>
      </c>
      <c r="AZ2">
        <v>610.70100000000002</v>
      </c>
      <c r="BA2">
        <v>1215</v>
      </c>
      <c r="BB2">
        <v>27</v>
      </c>
      <c r="BC2" t="str">
        <f>"u="&amp;(H2+I2)&amp;"%, k=2x10^"&amp;LOG10(L2/2)</f>
        <v>u=40%, k=2x10^6</v>
      </c>
      <c r="BD2">
        <f>INT(getField($AH2,0))</f>
        <v>1043</v>
      </c>
      <c r="BE2">
        <f>INT(getField($AH2,1))</f>
        <v>935319</v>
      </c>
      <c r="BF2">
        <f>AL2/1000000000/$N2</f>
        <v>29.92827875</v>
      </c>
      <c r="BG2">
        <f>AK2/1000000000/$N2</f>
        <v>3.7433869068749996</v>
      </c>
      <c r="BH2">
        <f>INT(getField($AH2,2))</f>
        <v>13487792</v>
      </c>
      <c r="BI2">
        <f>INT(getField($AH2,3))</f>
        <v>15112304</v>
      </c>
      <c r="BJ2">
        <f>INT(getField($AH2,4))</f>
        <v>0</v>
      </c>
    </row>
    <row r="3" spans="1:62">
      <c r="A3" t="s">
        <v>78</v>
      </c>
      <c r="B3" t="s">
        <v>57</v>
      </c>
      <c r="C3">
        <v>72</v>
      </c>
      <c r="D3" t="s">
        <v>58</v>
      </c>
      <c r="E3" t="s">
        <v>54</v>
      </c>
      <c r="F3" t="s">
        <v>55</v>
      </c>
      <c r="G3">
        <v>30000</v>
      </c>
      <c r="H3">
        <v>20</v>
      </c>
      <c r="I3">
        <v>20</v>
      </c>
      <c r="J3">
        <v>0</v>
      </c>
      <c r="K3">
        <v>1</v>
      </c>
      <c r="L3">
        <v>2000000</v>
      </c>
      <c r="M3">
        <v>48</v>
      </c>
      <c r="N3">
        <v>48</v>
      </c>
      <c r="O3">
        <v>48</v>
      </c>
      <c r="P3">
        <v>0</v>
      </c>
      <c r="Q3" t="s">
        <v>56</v>
      </c>
      <c r="R3">
        <v>998613146713</v>
      </c>
      <c r="S3">
        <v>998708</v>
      </c>
      <c r="T3">
        <v>998613146713</v>
      </c>
      <c r="U3">
        <v>998708</v>
      </c>
      <c r="V3" t="s">
        <v>65</v>
      </c>
      <c r="W3">
        <v>6</v>
      </c>
      <c r="X3">
        <v>80818</v>
      </c>
      <c r="Y3">
        <v>1131439</v>
      </c>
      <c r="Z3">
        <v>1212257</v>
      </c>
      <c r="AA3">
        <v>998708</v>
      </c>
      <c r="AB3">
        <v>14.9998</v>
      </c>
      <c r="AC3">
        <v>0.88268800000000003</v>
      </c>
      <c r="AD3">
        <v>1.8238399999999999</v>
      </c>
      <c r="AE3">
        <v>3.1047699999999998</v>
      </c>
      <c r="AF3">
        <v>24667968</v>
      </c>
      <c r="AG3" t="s">
        <v>93</v>
      </c>
      <c r="AH3" t="s">
        <v>94</v>
      </c>
      <c r="AI3">
        <v>1725870</v>
      </c>
      <c r="AJ3">
        <v>192860</v>
      </c>
      <c r="AK3">
        <v>224306740958</v>
      </c>
      <c r="AL3">
        <v>1436557831628</v>
      </c>
      <c r="AM3">
        <v>1120822344</v>
      </c>
      <c r="AN3">
        <v>0</v>
      </c>
      <c r="AO3">
        <v>747238068</v>
      </c>
      <c r="AP3">
        <v>1120822344</v>
      </c>
      <c r="AQ3">
        <v>1868060412</v>
      </c>
      <c r="AR3">
        <v>37360744</v>
      </c>
      <c r="AS3">
        <v>0</v>
      </c>
      <c r="AT3">
        <v>24907935</v>
      </c>
      <c r="AU3">
        <v>37360744</v>
      </c>
      <c r="AV3">
        <v>62268680</v>
      </c>
      <c r="AW3">
        <v>16.204499999999999</v>
      </c>
      <c r="AX3">
        <v>1.53349</v>
      </c>
      <c r="AY3">
        <v>2098.2199999999998</v>
      </c>
      <c r="AZ3">
        <v>991.54</v>
      </c>
      <c r="BA3">
        <v>1268</v>
      </c>
      <c r="BB3">
        <v>27</v>
      </c>
      <c r="BC3" t="str">
        <f t="shared" ref="BC3:BC6" si="0">"u="&amp;(H3+I3)&amp;"%, k=2x10^"&amp;LOG10(L3/2)</f>
        <v>u=40%, k=2x10^6</v>
      </c>
      <c r="BD3">
        <f t="shared" ref="BD3:BD6" si="1">INT(getField(AH3,0))</f>
        <v>1494</v>
      </c>
      <c r="BE3">
        <f t="shared" ref="BE3:BE6" si="2">INT(getField(AH3,1))</f>
        <v>1473088</v>
      </c>
      <c r="BF3">
        <f t="shared" ref="BF3:BF6" si="3">AL3/1000000000/$N3</f>
        <v>29.928288158916668</v>
      </c>
      <c r="BG3">
        <f t="shared" ref="BG3:BG6" si="4">AK3/1000000000/$N3</f>
        <v>4.6730571032916668</v>
      </c>
      <c r="BH3">
        <f t="shared" ref="BH3:BH41" si="5">INT(getField($AH3,2))</f>
        <v>13994936</v>
      </c>
      <c r="BI3">
        <f t="shared" ref="BI3:BI41" si="6">INT(getField($AH3,3))</f>
        <v>20318097</v>
      </c>
      <c r="BJ3">
        <f t="shared" ref="BJ3:BJ41" si="7">INT(getField($AH3,4))</f>
        <v>0</v>
      </c>
    </row>
    <row r="4" spans="1:62">
      <c r="A4" t="s">
        <v>79</v>
      </c>
      <c r="B4" t="s">
        <v>57</v>
      </c>
      <c r="C4">
        <v>72</v>
      </c>
      <c r="D4" t="s">
        <v>58</v>
      </c>
      <c r="E4" t="s">
        <v>54</v>
      </c>
      <c r="F4" t="s">
        <v>55</v>
      </c>
      <c r="G4">
        <v>30000</v>
      </c>
      <c r="H4">
        <v>20</v>
      </c>
      <c r="I4">
        <v>20</v>
      </c>
      <c r="J4">
        <v>0</v>
      </c>
      <c r="K4">
        <v>1</v>
      </c>
      <c r="L4">
        <v>2000000</v>
      </c>
      <c r="M4">
        <v>96</v>
      </c>
      <c r="N4">
        <v>96</v>
      </c>
      <c r="O4">
        <v>96</v>
      </c>
      <c r="P4">
        <v>0</v>
      </c>
      <c r="Q4" t="s">
        <v>56</v>
      </c>
      <c r="R4">
        <v>1000726852709</v>
      </c>
      <c r="S4">
        <v>1000568</v>
      </c>
      <c r="T4">
        <v>1000726852709</v>
      </c>
      <c r="U4">
        <v>1000568</v>
      </c>
      <c r="V4" t="s">
        <v>65</v>
      </c>
      <c r="W4">
        <v>6</v>
      </c>
      <c r="X4">
        <v>64724</v>
      </c>
      <c r="Y4">
        <v>1097207</v>
      </c>
      <c r="Z4">
        <v>1161931</v>
      </c>
      <c r="AA4">
        <v>1000568</v>
      </c>
      <c r="AB4">
        <v>17.952100000000002</v>
      </c>
      <c r="AC4">
        <v>0.91192300000000004</v>
      </c>
      <c r="AD4">
        <v>1.86113</v>
      </c>
      <c r="AE4">
        <v>3.06664</v>
      </c>
      <c r="AF4">
        <v>22769168</v>
      </c>
      <c r="AG4" t="s">
        <v>95</v>
      </c>
      <c r="AH4" t="s">
        <v>96</v>
      </c>
      <c r="AI4">
        <v>7152403</v>
      </c>
      <c r="AJ4">
        <v>63938</v>
      </c>
      <c r="AK4">
        <v>663646858593</v>
      </c>
      <c r="AL4">
        <v>2873115911410</v>
      </c>
      <c r="AM4">
        <v>1371231193</v>
      </c>
      <c r="AN4">
        <v>0</v>
      </c>
      <c r="AO4">
        <v>914213863</v>
      </c>
      <c r="AP4">
        <v>1371231193</v>
      </c>
      <c r="AQ4">
        <v>2285445056</v>
      </c>
      <c r="AR4">
        <v>45707706</v>
      </c>
      <c r="AS4">
        <v>0</v>
      </c>
      <c r="AT4">
        <v>30473795</v>
      </c>
      <c r="AU4">
        <v>45707706</v>
      </c>
      <c r="AV4">
        <v>76181501</v>
      </c>
      <c r="AW4">
        <v>19.4876</v>
      </c>
      <c r="AX4">
        <v>6.1401599999999998</v>
      </c>
      <c r="AY4">
        <v>3506.34</v>
      </c>
      <c r="AZ4">
        <v>2343.0300000000002</v>
      </c>
      <c r="BA4">
        <v>1383</v>
      </c>
      <c r="BB4">
        <v>161</v>
      </c>
      <c r="BC4" t="str">
        <f t="shared" si="0"/>
        <v>u=40%, k=2x10^6</v>
      </c>
      <c r="BD4">
        <f t="shared" si="1"/>
        <v>1829</v>
      </c>
      <c r="BE4">
        <f t="shared" si="2"/>
        <v>2845126</v>
      </c>
      <c r="BF4">
        <f t="shared" si="3"/>
        <v>29.928290743854166</v>
      </c>
      <c r="BG4">
        <f t="shared" si="4"/>
        <v>6.9129881103437505</v>
      </c>
      <c r="BH4">
        <f t="shared" si="5"/>
        <v>4964456</v>
      </c>
      <c r="BI4">
        <f t="shared" si="6"/>
        <v>21131072</v>
      </c>
      <c r="BJ4">
        <f t="shared" si="7"/>
        <v>0</v>
      </c>
    </row>
    <row r="5" spans="1:62">
      <c r="A5" t="s">
        <v>80</v>
      </c>
      <c r="B5" t="s">
        <v>57</v>
      </c>
      <c r="C5">
        <v>72</v>
      </c>
      <c r="D5" t="s">
        <v>58</v>
      </c>
      <c r="E5" t="s">
        <v>54</v>
      </c>
      <c r="F5" t="s">
        <v>55</v>
      </c>
      <c r="G5">
        <v>30000</v>
      </c>
      <c r="H5">
        <v>20</v>
      </c>
      <c r="I5">
        <v>20</v>
      </c>
      <c r="J5">
        <v>0</v>
      </c>
      <c r="K5">
        <v>1</v>
      </c>
      <c r="L5">
        <v>2000000</v>
      </c>
      <c r="M5">
        <v>144</v>
      </c>
      <c r="N5">
        <v>144</v>
      </c>
      <c r="O5">
        <v>144</v>
      </c>
      <c r="P5">
        <v>0</v>
      </c>
      <c r="Q5" t="s">
        <v>56</v>
      </c>
      <c r="R5">
        <v>1001547680169</v>
      </c>
      <c r="S5">
        <v>1001266</v>
      </c>
      <c r="T5">
        <v>1001547680169</v>
      </c>
      <c r="U5">
        <v>1001266</v>
      </c>
      <c r="V5" t="s">
        <v>65</v>
      </c>
      <c r="W5">
        <v>6</v>
      </c>
      <c r="X5">
        <v>54241</v>
      </c>
      <c r="Y5">
        <v>1076446</v>
      </c>
      <c r="Z5">
        <v>1130687</v>
      </c>
      <c r="AA5">
        <v>1001266</v>
      </c>
      <c r="AB5">
        <v>20.845600000000001</v>
      </c>
      <c r="AC5">
        <v>0.93015899999999996</v>
      </c>
      <c r="AD5">
        <v>1.88554</v>
      </c>
      <c r="AE5">
        <v>3.0441199999999999</v>
      </c>
      <c r="AF5">
        <v>21581568</v>
      </c>
      <c r="AG5" t="s">
        <v>97</v>
      </c>
      <c r="AH5" t="s">
        <v>98</v>
      </c>
      <c r="AI5">
        <v>17894350</v>
      </c>
      <c r="AJ5">
        <v>32088</v>
      </c>
      <c r="AK5">
        <v>1319443907074</v>
      </c>
      <c r="AL5">
        <v>4309675802466</v>
      </c>
      <c r="AM5">
        <v>1516143645</v>
      </c>
      <c r="AN5">
        <v>0</v>
      </c>
      <c r="AO5">
        <v>1010868850</v>
      </c>
      <c r="AP5">
        <v>1516143645</v>
      </c>
      <c r="AQ5">
        <v>2527012495</v>
      </c>
      <c r="AR5">
        <v>50538121</v>
      </c>
      <c r="AS5">
        <v>0</v>
      </c>
      <c r="AT5">
        <v>33695628</v>
      </c>
      <c r="AU5">
        <v>50538121</v>
      </c>
      <c r="AV5">
        <v>84233749</v>
      </c>
      <c r="AW5">
        <v>24.3704</v>
      </c>
      <c r="AX5">
        <v>10.6127</v>
      </c>
      <c r="AY5">
        <v>4758.18</v>
      </c>
      <c r="AZ5">
        <v>3453.1</v>
      </c>
      <c r="BA5">
        <v>1578</v>
      </c>
      <c r="BB5">
        <v>270</v>
      </c>
      <c r="BC5" t="str">
        <f t="shared" si="0"/>
        <v>u=40%, k=2x10^6</v>
      </c>
      <c r="BD5">
        <f t="shared" si="1"/>
        <v>2023</v>
      </c>
      <c r="BE5">
        <f t="shared" si="2"/>
        <v>5853914</v>
      </c>
      <c r="BF5">
        <f t="shared" si="3"/>
        <v>29.928304183791667</v>
      </c>
      <c r="BG5">
        <f t="shared" si="4"/>
        <v>9.1628049102361118</v>
      </c>
      <c r="BH5">
        <f t="shared" si="5"/>
        <v>1055646</v>
      </c>
      <c r="BI5">
        <f t="shared" si="6"/>
        <v>16434073</v>
      </c>
      <c r="BJ5">
        <f t="shared" si="7"/>
        <v>0</v>
      </c>
    </row>
    <row r="6" spans="1:62">
      <c r="A6" t="s">
        <v>81</v>
      </c>
      <c r="B6" t="s">
        <v>57</v>
      </c>
      <c r="C6">
        <v>72</v>
      </c>
      <c r="D6" t="s">
        <v>58</v>
      </c>
      <c r="E6" t="s">
        <v>54</v>
      </c>
      <c r="F6" t="s">
        <v>55</v>
      </c>
      <c r="G6">
        <v>30000</v>
      </c>
      <c r="H6">
        <v>20</v>
      </c>
      <c r="I6">
        <v>20</v>
      </c>
      <c r="J6">
        <v>0</v>
      </c>
      <c r="K6">
        <v>1</v>
      </c>
      <c r="L6">
        <v>2000000</v>
      </c>
      <c r="M6">
        <v>190</v>
      </c>
      <c r="N6">
        <v>190</v>
      </c>
      <c r="O6">
        <v>190</v>
      </c>
      <c r="P6">
        <v>0</v>
      </c>
      <c r="Q6" t="s">
        <v>56</v>
      </c>
      <c r="R6">
        <v>1000104563126</v>
      </c>
      <c r="S6">
        <v>999812</v>
      </c>
      <c r="T6">
        <v>1000104563126</v>
      </c>
      <c r="U6">
        <v>999812</v>
      </c>
      <c r="V6" t="s">
        <v>65</v>
      </c>
      <c r="W6">
        <v>6</v>
      </c>
      <c r="X6">
        <v>33060</v>
      </c>
      <c r="Y6">
        <v>1031913</v>
      </c>
      <c r="Z6">
        <v>1064973</v>
      </c>
      <c r="AA6">
        <v>999812</v>
      </c>
      <c r="AB6">
        <v>32.213299999999997</v>
      </c>
      <c r="AC6">
        <v>0.96889199999999998</v>
      </c>
      <c r="AD6">
        <v>1.9388099999999999</v>
      </c>
      <c r="AE6">
        <v>3.0001199999999999</v>
      </c>
      <c r="AF6">
        <v>19155392</v>
      </c>
      <c r="AG6" t="s">
        <v>99</v>
      </c>
      <c r="AH6" t="s">
        <v>100</v>
      </c>
      <c r="AI6">
        <v>24636935</v>
      </c>
      <c r="AJ6">
        <v>20974</v>
      </c>
      <c r="AK6">
        <v>1782720926151</v>
      </c>
      <c r="AL6">
        <v>5686742622408</v>
      </c>
      <c r="AM6">
        <v>1741226664</v>
      </c>
      <c r="AN6">
        <v>0</v>
      </c>
      <c r="AO6">
        <v>1160809600</v>
      </c>
      <c r="AP6">
        <v>1741226664</v>
      </c>
      <c r="AQ6">
        <v>2902036264</v>
      </c>
      <c r="AR6">
        <v>58040888</v>
      </c>
      <c r="AS6">
        <v>0</v>
      </c>
      <c r="AT6">
        <v>38693653</v>
      </c>
      <c r="AU6">
        <v>58040888</v>
      </c>
      <c r="AV6">
        <v>96734542</v>
      </c>
      <c r="AW6">
        <v>25.047499999999999</v>
      </c>
      <c r="AX6">
        <v>11.9505</v>
      </c>
      <c r="AY6">
        <v>5465.32</v>
      </c>
      <c r="AZ6">
        <v>4162.0600000000004</v>
      </c>
      <c r="BA6">
        <v>1758</v>
      </c>
      <c r="BB6">
        <v>260</v>
      </c>
      <c r="BC6" t="str">
        <f t="shared" si="0"/>
        <v>u=40%, k=2x10^6</v>
      </c>
      <c r="BD6">
        <f t="shared" si="1"/>
        <v>2324</v>
      </c>
      <c r="BE6">
        <f t="shared" si="2"/>
        <v>5404540</v>
      </c>
      <c r="BF6">
        <f t="shared" si="3"/>
        <v>29.930224328463158</v>
      </c>
      <c r="BG6">
        <f t="shared" si="4"/>
        <v>9.38274171658421</v>
      </c>
      <c r="BH6">
        <f t="shared" si="5"/>
        <v>2637671</v>
      </c>
      <c r="BI6">
        <f t="shared" si="6"/>
        <v>21784773</v>
      </c>
      <c r="BJ6">
        <f t="shared" si="7"/>
        <v>0</v>
      </c>
    </row>
    <row r="7" spans="1:62">
      <c r="A7" t="s">
        <v>101</v>
      </c>
      <c r="B7" t="s">
        <v>57</v>
      </c>
      <c r="C7">
        <v>72</v>
      </c>
      <c r="D7" t="s">
        <v>58</v>
      </c>
      <c r="E7" t="s">
        <v>54</v>
      </c>
      <c r="F7" t="s">
        <v>55</v>
      </c>
      <c r="G7">
        <v>30000</v>
      </c>
      <c r="H7">
        <v>20</v>
      </c>
      <c r="I7">
        <v>20</v>
      </c>
      <c r="J7">
        <v>0</v>
      </c>
      <c r="K7">
        <v>1</v>
      </c>
      <c r="L7">
        <v>200000000</v>
      </c>
      <c r="M7">
        <v>24</v>
      </c>
      <c r="N7">
        <v>24</v>
      </c>
      <c r="O7">
        <v>24</v>
      </c>
      <c r="P7">
        <v>0</v>
      </c>
      <c r="Q7" t="s">
        <v>56</v>
      </c>
      <c r="R7">
        <v>1.0000305167473E+16</v>
      </c>
      <c r="S7">
        <v>100000190</v>
      </c>
      <c r="T7">
        <v>1.0000305167473E+16</v>
      </c>
      <c r="U7">
        <v>100000190</v>
      </c>
      <c r="V7" t="s">
        <v>65</v>
      </c>
      <c r="W7">
        <v>7</v>
      </c>
      <c r="X7">
        <v>11011105</v>
      </c>
      <c r="Y7">
        <v>110001195</v>
      </c>
      <c r="Z7">
        <v>121012300</v>
      </c>
      <c r="AA7">
        <v>100000190</v>
      </c>
      <c r="AB7">
        <v>10.99</v>
      </c>
      <c r="AC7">
        <v>0.90908299999999997</v>
      </c>
      <c r="AD7">
        <v>1.82636</v>
      </c>
      <c r="AE7">
        <v>4</v>
      </c>
      <c r="AF7">
        <v>2640907504</v>
      </c>
      <c r="AG7" t="s">
        <v>102</v>
      </c>
      <c r="AH7" t="s">
        <v>103</v>
      </c>
      <c r="AI7">
        <v>7571</v>
      </c>
      <c r="AJ7">
        <v>183528</v>
      </c>
      <c r="AK7">
        <v>109853696526</v>
      </c>
      <c r="AL7">
        <v>719486877394</v>
      </c>
      <c r="AM7">
        <v>300024768</v>
      </c>
      <c r="AN7">
        <v>0</v>
      </c>
      <c r="AO7">
        <v>199995385</v>
      </c>
      <c r="AP7">
        <v>300024768</v>
      </c>
      <c r="AQ7">
        <v>500020153</v>
      </c>
      <c r="AR7">
        <v>10000825</v>
      </c>
      <c r="AS7">
        <v>0</v>
      </c>
      <c r="AT7">
        <v>6666512</v>
      </c>
      <c r="AU7">
        <v>10000825</v>
      </c>
      <c r="AV7">
        <v>16667338</v>
      </c>
      <c r="AW7">
        <v>27.969799999999999</v>
      </c>
      <c r="AX7">
        <v>13.652200000000001</v>
      </c>
      <c r="AY7">
        <v>3889.11</v>
      </c>
      <c r="AZ7">
        <v>2839.89</v>
      </c>
      <c r="BA7">
        <v>12609</v>
      </c>
      <c r="BB7">
        <v>1538</v>
      </c>
      <c r="BC7" t="str">
        <f t="shared" ref="BC7:BC41" si="8">"u="&amp;(H7+I7)&amp;"%, k=2x10^"&amp;LOG10(L7/2)</f>
        <v>u=40%, k=2x10^8</v>
      </c>
      <c r="BD7">
        <f t="shared" ref="BD7:BD41" si="9">INT(getField(AH7,0))</f>
        <v>4</v>
      </c>
      <c r="BE7">
        <f t="shared" ref="BE7:BE41" si="10">INT(getField(AH7,1))</f>
        <v>25391</v>
      </c>
      <c r="BF7">
        <f t="shared" ref="BF7:BF41" si="11">AL7/1000000000/$N7</f>
        <v>29.978619891416667</v>
      </c>
      <c r="BG7">
        <f t="shared" ref="BG7:BG41" si="12">AK7/1000000000/$N7</f>
        <v>4.5772373552499994</v>
      </c>
      <c r="BH7">
        <f t="shared" si="5"/>
        <v>1988748</v>
      </c>
      <c r="BI7">
        <f t="shared" si="6"/>
        <v>16865199</v>
      </c>
      <c r="BJ7">
        <f t="shared" si="7"/>
        <v>2766256</v>
      </c>
    </row>
    <row r="8" spans="1:62">
      <c r="A8" t="s">
        <v>104</v>
      </c>
      <c r="B8" t="s">
        <v>57</v>
      </c>
      <c r="C8">
        <v>72</v>
      </c>
      <c r="D8" t="s">
        <v>58</v>
      </c>
      <c r="E8" t="s">
        <v>54</v>
      </c>
      <c r="F8" t="s">
        <v>55</v>
      </c>
      <c r="G8">
        <v>30000</v>
      </c>
      <c r="H8">
        <v>20</v>
      </c>
      <c r="I8">
        <v>20</v>
      </c>
      <c r="J8">
        <v>0</v>
      </c>
      <c r="K8">
        <v>1</v>
      </c>
      <c r="L8">
        <v>200000000</v>
      </c>
      <c r="M8">
        <v>48</v>
      </c>
      <c r="N8">
        <v>48</v>
      </c>
      <c r="O8">
        <v>48</v>
      </c>
      <c r="P8">
        <v>0</v>
      </c>
      <c r="Q8" t="s">
        <v>56</v>
      </c>
      <c r="R8">
        <v>9999269022466760</v>
      </c>
      <c r="S8">
        <v>99994709</v>
      </c>
      <c r="T8">
        <v>9999269022466760</v>
      </c>
      <c r="U8">
        <v>99994709</v>
      </c>
      <c r="V8" t="s">
        <v>65</v>
      </c>
      <c r="W8">
        <v>7</v>
      </c>
      <c r="X8">
        <v>14782098</v>
      </c>
      <c r="Y8">
        <v>117868484</v>
      </c>
      <c r="Z8">
        <v>132650582</v>
      </c>
      <c r="AA8">
        <v>99994709</v>
      </c>
      <c r="AB8">
        <v>8.9737299999999998</v>
      </c>
      <c r="AC8">
        <v>0.84835799999999995</v>
      </c>
      <c r="AD8">
        <v>1.7538199999999999</v>
      </c>
      <c r="AE8">
        <v>4.0787100000000001</v>
      </c>
      <c r="AF8">
        <v>3072179152</v>
      </c>
      <c r="AG8" t="s">
        <v>105</v>
      </c>
      <c r="AH8" t="s">
        <v>106</v>
      </c>
      <c r="AI8">
        <v>31792</v>
      </c>
      <c r="AJ8">
        <v>69482</v>
      </c>
      <c r="AK8">
        <v>241516674678</v>
      </c>
      <c r="AL8">
        <v>1436558468283</v>
      </c>
      <c r="AM8">
        <v>488837111</v>
      </c>
      <c r="AN8">
        <v>0</v>
      </c>
      <c r="AO8">
        <v>325921781</v>
      </c>
      <c r="AP8">
        <v>488837111</v>
      </c>
      <c r="AQ8">
        <v>814758892</v>
      </c>
      <c r="AR8">
        <v>16294570</v>
      </c>
      <c r="AS8">
        <v>0</v>
      </c>
      <c r="AT8">
        <v>10864059</v>
      </c>
      <c r="AU8">
        <v>16294570</v>
      </c>
      <c r="AV8">
        <v>27158629</v>
      </c>
      <c r="AW8">
        <v>29.331700000000001</v>
      </c>
      <c r="AX8">
        <v>14.1416</v>
      </c>
      <c r="AY8">
        <v>4711.67</v>
      </c>
      <c r="AZ8">
        <v>3475.96</v>
      </c>
      <c r="BA8">
        <v>13104</v>
      </c>
      <c r="BB8">
        <v>1287</v>
      </c>
      <c r="BC8" t="str">
        <f t="shared" si="8"/>
        <v>u=40%, k=2x10^8</v>
      </c>
      <c r="BD8">
        <f t="shared" si="9"/>
        <v>6</v>
      </c>
      <c r="BE8">
        <f t="shared" si="10"/>
        <v>51614</v>
      </c>
      <c r="BF8">
        <f t="shared" si="11"/>
        <v>29.928301422562498</v>
      </c>
      <c r="BG8">
        <f t="shared" si="12"/>
        <v>5.0315973891249994</v>
      </c>
      <c r="BH8">
        <f t="shared" si="5"/>
        <v>2823977</v>
      </c>
      <c r="BI8">
        <f t="shared" si="6"/>
        <v>26459530</v>
      </c>
      <c r="BJ8">
        <f t="shared" si="7"/>
        <v>4464416</v>
      </c>
    </row>
    <row r="9" spans="1:62">
      <c r="A9" t="s">
        <v>107</v>
      </c>
      <c r="B9" t="s">
        <v>57</v>
      </c>
      <c r="C9">
        <v>72</v>
      </c>
      <c r="D9" t="s">
        <v>58</v>
      </c>
      <c r="E9" t="s">
        <v>54</v>
      </c>
      <c r="F9" t="s">
        <v>55</v>
      </c>
      <c r="G9">
        <v>30000</v>
      </c>
      <c r="H9">
        <v>20</v>
      </c>
      <c r="I9">
        <v>20</v>
      </c>
      <c r="J9">
        <v>0</v>
      </c>
      <c r="K9">
        <v>1</v>
      </c>
      <c r="L9">
        <v>200000000</v>
      </c>
      <c r="M9">
        <v>96</v>
      </c>
      <c r="N9">
        <v>96</v>
      </c>
      <c r="O9">
        <v>96</v>
      </c>
      <c r="P9">
        <v>0</v>
      </c>
      <c r="Q9" t="s">
        <v>56</v>
      </c>
      <c r="R9">
        <v>9998964549238950</v>
      </c>
      <c r="S9">
        <v>99991163</v>
      </c>
      <c r="T9">
        <v>9998964549238950</v>
      </c>
      <c r="U9">
        <v>99991163</v>
      </c>
      <c r="V9" t="s">
        <v>65</v>
      </c>
      <c r="W9">
        <v>7</v>
      </c>
      <c r="X9">
        <v>14580007</v>
      </c>
      <c r="Y9">
        <v>117439736</v>
      </c>
      <c r="Z9">
        <v>132019743</v>
      </c>
      <c r="AA9">
        <v>99991163</v>
      </c>
      <c r="AB9">
        <v>9.0548500000000001</v>
      </c>
      <c r="AC9">
        <v>0.85142499999999999</v>
      </c>
      <c r="AD9">
        <v>1.7574000000000001</v>
      </c>
      <c r="AE9">
        <v>4.0722399999999999</v>
      </c>
      <c r="AF9">
        <v>3049389072</v>
      </c>
      <c r="AG9" t="s">
        <v>108</v>
      </c>
      <c r="AH9" t="s">
        <v>109</v>
      </c>
      <c r="AI9">
        <v>152433</v>
      </c>
      <c r="AJ9">
        <v>30200</v>
      </c>
      <c r="AK9">
        <v>520862907108</v>
      </c>
      <c r="AL9">
        <v>2873117737507</v>
      </c>
      <c r="AM9">
        <v>888319639</v>
      </c>
      <c r="AN9">
        <v>0</v>
      </c>
      <c r="AO9">
        <v>592208757</v>
      </c>
      <c r="AP9">
        <v>888319639</v>
      </c>
      <c r="AQ9">
        <v>1480528396</v>
      </c>
      <c r="AR9">
        <v>29610654</v>
      </c>
      <c r="AS9">
        <v>0</v>
      </c>
      <c r="AT9">
        <v>19740291</v>
      </c>
      <c r="AU9">
        <v>29610654</v>
      </c>
      <c r="AV9">
        <v>49350946</v>
      </c>
      <c r="AW9">
        <v>30.468599999999999</v>
      </c>
      <c r="AX9">
        <v>15.906700000000001</v>
      </c>
      <c r="AY9">
        <v>5070.03</v>
      </c>
      <c r="AZ9">
        <v>3703.21</v>
      </c>
      <c r="BA9">
        <v>13769</v>
      </c>
      <c r="BB9">
        <v>1068</v>
      </c>
      <c r="BC9" t="str">
        <f t="shared" si="8"/>
        <v>u=40%, k=2x10^8</v>
      </c>
      <c r="BD9">
        <f t="shared" si="9"/>
        <v>11</v>
      </c>
      <c r="BE9">
        <f t="shared" si="10"/>
        <v>109078</v>
      </c>
      <c r="BF9">
        <f t="shared" si="11"/>
        <v>29.928309765697918</v>
      </c>
      <c r="BG9">
        <f t="shared" si="12"/>
        <v>5.4256552823749997</v>
      </c>
      <c r="BH9">
        <f t="shared" si="5"/>
        <v>4578557</v>
      </c>
      <c r="BI9">
        <f t="shared" si="6"/>
        <v>47525249</v>
      </c>
      <c r="BJ9">
        <f t="shared" si="7"/>
        <v>7997186</v>
      </c>
    </row>
    <row r="10" spans="1:62">
      <c r="A10" t="s">
        <v>110</v>
      </c>
      <c r="B10" t="s">
        <v>57</v>
      </c>
      <c r="C10">
        <v>72</v>
      </c>
      <c r="D10" t="s">
        <v>58</v>
      </c>
      <c r="E10" t="s">
        <v>54</v>
      </c>
      <c r="F10" t="s">
        <v>55</v>
      </c>
      <c r="G10">
        <v>30000</v>
      </c>
      <c r="H10">
        <v>20</v>
      </c>
      <c r="I10">
        <v>20</v>
      </c>
      <c r="J10">
        <v>0</v>
      </c>
      <c r="K10">
        <v>1</v>
      </c>
      <c r="L10">
        <v>200000000</v>
      </c>
      <c r="M10">
        <v>144</v>
      </c>
      <c r="N10">
        <v>144</v>
      </c>
      <c r="O10">
        <v>144</v>
      </c>
      <c r="P10">
        <v>0</v>
      </c>
      <c r="Q10" t="s">
        <v>56</v>
      </c>
      <c r="R10">
        <v>1.00001437105632E+16</v>
      </c>
      <c r="S10">
        <v>99995492</v>
      </c>
      <c r="T10">
        <v>1.00001437105632E+16</v>
      </c>
      <c r="U10">
        <v>99995492</v>
      </c>
      <c r="V10" t="s">
        <v>65</v>
      </c>
      <c r="W10">
        <v>7</v>
      </c>
      <c r="X10">
        <v>14001766</v>
      </c>
      <c r="Y10">
        <v>116146040</v>
      </c>
      <c r="Z10">
        <v>130147806</v>
      </c>
      <c r="AA10">
        <v>99995492</v>
      </c>
      <c r="AB10">
        <v>9.2950999999999997</v>
      </c>
      <c r="AC10">
        <v>0.86094599999999999</v>
      </c>
      <c r="AD10">
        <v>1.7683199999999999</v>
      </c>
      <c r="AE10">
        <v>4.06189</v>
      </c>
      <c r="AF10">
        <v>2980745968</v>
      </c>
      <c r="AG10" t="s">
        <v>111</v>
      </c>
      <c r="AH10" t="s">
        <v>112</v>
      </c>
      <c r="AI10">
        <v>320096</v>
      </c>
      <c r="AJ10">
        <v>17770</v>
      </c>
      <c r="AK10">
        <v>827988600378</v>
      </c>
      <c r="AL10">
        <v>4309677182814</v>
      </c>
      <c r="AM10">
        <v>1224156544</v>
      </c>
      <c r="AN10">
        <v>0</v>
      </c>
      <c r="AO10">
        <v>816093498</v>
      </c>
      <c r="AP10">
        <v>1224156544</v>
      </c>
      <c r="AQ10">
        <v>2040250042</v>
      </c>
      <c r="AR10">
        <v>40805218</v>
      </c>
      <c r="AS10">
        <v>0</v>
      </c>
      <c r="AT10">
        <v>27203116</v>
      </c>
      <c r="AU10">
        <v>40805218</v>
      </c>
      <c r="AV10">
        <v>68008334</v>
      </c>
      <c r="AW10">
        <v>31.1523</v>
      </c>
      <c r="AX10">
        <v>16.998799999999999</v>
      </c>
      <c r="AY10">
        <v>5381.32</v>
      </c>
      <c r="AZ10">
        <v>3962.28</v>
      </c>
      <c r="BA10">
        <v>14190</v>
      </c>
      <c r="BB10">
        <v>1059</v>
      </c>
      <c r="BC10" t="str">
        <f t="shared" si="8"/>
        <v>u=40%, k=2x10^8</v>
      </c>
      <c r="BD10">
        <f t="shared" si="9"/>
        <v>16</v>
      </c>
      <c r="BE10">
        <f t="shared" si="10"/>
        <v>159948</v>
      </c>
      <c r="BF10">
        <f t="shared" si="11"/>
        <v>29.928313769541667</v>
      </c>
      <c r="BG10">
        <f t="shared" si="12"/>
        <v>5.7499208359583331</v>
      </c>
      <c r="BH10">
        <f t="shared" si="5"/>
        <v>5598994</v>
      </c>
      <c r="BI10">
        <f t="shared" si="6"/>
        <v>62909591</v>
      </c>
      <c r="BJ10">
        <f t="shared" si="7"/>
        <v>10843628</v>
      </c>
    </row>
    <row r="11" spans="1:62">
      <c r="A11" t="s">
        <v>113</v>
      </c>
      <c r="B11" t="s">
        <v>57</v>
      </c>
      <c r="C11">
        <v>72</v>
      </c>
      <c r="D11" t="s">
        <v>58</v>
      </c>
      <c r="E11" t="s">
        <v>54</v>
      </c>
      <c r="F11" t="s">
        <v>55</v>
      </c>
      <c r="G11">
        <v>30000</v>
      </c>
      <c r="H11">
        <v>20</v>
      </c>
      <c r="I11">
        <v>20</v>
      </c>
      <c r="J11">
        <v>0</v>
      </c>
      <c r="K11">
        <v>1</v>
      </c>
      <c r="L11">
        <v>200000000</v>
      </c>
      <c r="M11">
        <v>190</v>
      </c>
      <c r="N11">
        <v>190</v>
      </c>
      <c r="O11">
        <v>190</v>
      </c>
      <c r="P11">
        <v>0</v>
      </c>
      <c r="Q11" t="s">
        <v>56</v>
      </c>
      <c r="R11">
        <v>9999336492531180</v>
      </c>
      <c r="S11">
        <v>99995084</v>
      </c>
      <c r="T11">
        <v>9999336492531180</v>
      </c>
      <c r="U11">
        <v>99995084</v>
      </c>
      <c r="V11" t="s">
        <v>65</v>
      </c>
      <c r="W11">
        <v>7</v>
      </c>
      <c r="X11">
        <v>11292750</v>
      </c>
      <c r="Y11">
        <v>110560937</v>
      </c>
      <c r="Z11">
        <v>121853687</v>
      </c>
      <c r="AA11">
        <v>99995084</v>
      </c>
      <c r="AB11">
        <v>10.7904</v>
      </c>
      <c r="AC11">
        <v>0.90443399999999996</v>
      </c>
      <c r="AD11">
        <v>1.8206199999999999</v>
      </c>
      <c r="AE11">
        <v>4.0056799999999999</v>
      </c>
      <c r="AF11">
        <v>2672418288</v>
      </c>
      <c r="AG11" t="s">
        <v>114</v>
      </c>
      <c r="AH11" t="s">
        <v>115</v>
      </c>
      <c r="AI11">
        <v>513242</v>
      </c>
      <c r="AJ11">
        <v>12714</v>
      </c>
      <c r="AK11">
        <v>1143311860534</v>
      </c>
      <c r="AL11">
        <v>5690389524840</v>
      </c>
      <c r="AM11">
        <v>1501590763</v>
      </c>
      <c r="AN11">
        <v>0</v>
      </c>
      <c r="AO11">
        <v>1001090928</v>
      </c>
      <c r="AP11">
        <v>1501590763</v>
      </c>
      <c r="AQ11">
        <v>2502681691</v>
      </c>
      <c r="AR11">
        <v>50053025</v>
      </c>
      <c r="AS11">
        <v>0</v>
      </c>
      <c r="AT11">
        <v>33369697</v>
      </c>
      <c r="AU11">
        <v>50053025</v>
      </c>
      <c r="AV11">
        <v>83422723</v>
      </c>
      <c r="AW11">
        <v>31.5853</v>
      </c>
      <c r="AX11">
        <v>17.667000000000002</v>
      </c>
      <c r="AY11">
        <v>5691.26</v>
      </c>
      <c r="AZ11">
        <v>4202.29</v>
      </c>
      <c r="BA11">
        <v>14434</v>
      </c>
      <c r="BB11">
        <v>1166</v>
      </c>
      <c r="BC11" t="str">
        <f t="shared" si="8"/>
        <v>u=40%, k=2x10^8</v>
      </c>
      <c r="BD11">
        <f t="shared" si="9"/>
        <v>20</v>
      </c>
      <c r="BE11">
        <f t="shared" si="10"/>
        <v>199946</v>
      </c>
      <c r="BF11">
        <f t="shared" si="11"/>
        <v>29.949418551789474</v>
      </c>
      <c r="BG11">
        <f t="shared" si="12"/>
        <v>6.0174308449157898</v>
      </c>
      <c r="BH11">
        <f t="shared" si="5"/>
        <v>6886828</v>
      </c>
      <c r="BI11">
        <f t="shared" si="6"/>
        <v>77737377</v>
      </c>
      <c r="BJ11">
        <f t="shared" si="7"/>
        <v>13321110</v>
      </c>
    </row>
    <row r="12" spans="1:62">
      <c r="A12" t="s">
        <v>116</v>
      </c>
      <c r="B12" t="s">
        <v>57</v>
      </c>
      <c r="C12">
        <v>72</v>
      </c>
      <c r="D12" t="s">
        <v>58</v>
      </c>
      <c r="E12" t="s">
        <v>54</v>
      </c>
      <c r="F12" t="s">
        <v>55</v>
      </c>
      <c r="G12">
        <v>30000</v>
      </c>
      <c r="H12">
        <v>0.5</v>
      </c>
      <c r="I12">
        <v>0.5</v>
      </c>
      <c r="J12">
        <v>0</v>
      </c>
      <c r="K12">
        <v>1</v>
      </c>
      <c r="L12">
        <v>2000000</v>
      </c>
      <c r="M12">
        <v>24</v>
      </c>
      <c r="N12">
        <v>24</v>
      </c>
      <c r="O12">
        <v>24</v>
      </c>
      <c r="P12">
        <v>0</v>
      </c>
      <c r="Q12" t="s">
        <v>56</v>
      </c>
      <c r="R12">
        <v>1000062202652</v>
      </c>
      <c r="S12">
        <v>1000560</v>
      </c>
      <c r="T12">
        <v>1000062202652</v>
      </c>
      <c r="U12">
        <v>1000560</v>
      </c>
      <c r="V12" t="s">
        <v>65</v>
      </c>
      <c r="W12">
        <v>6</v>
      </c>
      <c r="X12">
        <v>83876</v>
      </c>
      <c r="Y12">
        <v>1138403</v>
      </c>
      <c r="Z12">
        <v>1222279</v>
      </c>
      <c r="AA12">
        <v>1000560</v>
      </c>
      <c r="AB12">
        <v>14.5725</v>
      </c>
      <c r="AC12">
        <v>0.878915</v>
      </c>
      <c r="AD12">
        <v>1.8186</v>
      </c>
      <c r="AE12">
        <v>3.1107499999999999</v>
      </c>
      <c r="AF12">
        <v>25026208</v>
      </c>
      <c r="AG12" t="s">
        <v>117</v>
      </c>
      <c r="AH12" t="s">
        <v>118</v>
      </c>
      <c r="AI12">
        <v>3826</v>
      </c>
      <c r="AJ12">
        <v>880734</v>
      </c>
      <c r="AK12">
        <v>4361150056</v>
      </c>
      <c r="AL12">
        <v>718279564048</v>
      </c>
      <c r="AM12">
        <v>2354428325</v>
      </c>
      <c r="AN12">
        <v>0</v>
      </c>
      <c r="AO12">
        <v>23790894</v>
      </c>
      <c r="AP12">
        <v>2354428325</v>
      </c>
      <c r="AQ12">
        <v>2378219219</v>
      </c>
      <c r="AR12">
        <v>78480944</v>
      </c>
      <c r="AS12">
        <v>0</v>
      </c>
      <c r="AT12">
        <v>793029</v>
      </c>
      <c r="AU12">
        <v>78480944</v>
      </c>
      <c r="AV12">
        <v>79273973</v>
      </c>
      <c r="AW12">
        <v>8.6193799999999996</v>
      </c>
      <c r="AX12">
        <v>9.7589599999999999E-2</v>
      </c>
      <c r="AY12">
        <v>843.96299999999997</v>
      </c>
      <c r="AZ12">
        <v>278.58699999999999</v>
      </c>
      <c r="BA12">
        <v>1186</v>
      </c>
      <c r="BB12">
        <v>26</v>
      </c>
      <c r="BC12" t="str">
        <f t="shared" si="8"/>
        <v>u=1%, k=2x10^6</v>
      </c>
      <c r="BD12">
        <f t="shared" si="9"/>
        <v>47</v>
      </c>
      <c r="BE12">
        <f t="shared" si="10"/>
        <v>42222</v>
      </c>
      <c r="BF12">
        <f t="shared" si="11"/>
        <v>29.928315168666668</v>
      </c>
      <c r="BG12">
        <f t="shared" si="12"/>
        <v>0.18171458566666665</v>
      </c>
      <c r="BH12">
        <f t="shared" si="5"/>
        <v>611396</v>
      </c>
      <c r="BI12">
        <f t="shared" si="6"/>
        <v>688629</v>
      </c>
      <c r="BJ12">
        <f t="shared" si="7"/>
        <v>0</v>
      </c>
    </row>
    <row r="13" spans="1:62">
      <c r="A13" t="s">
        <v>119</v>
      </c>
      <c r="B13" t="s">
        <v>57</v>
      </c>
      <c r="C13">
        <v>72</v>
      </c>
      <c r="D13" t="s">
        <v>58</v>
      </c>
      <c r="E13" t="s">
        <v>54</v>
      </c>
      <c r="F13" t="s">
        <v>55</v>
      </c>
      <c r="G13">
        <v>30000</v>
      </c>
      <c r="H13">
        <v>0.5</v>
      </c>
      <c r="I13">
        <v>0.5</v>
      </c>
      <c r="J13">
        <v>0</v>
      </c>
      <c r="K13">
        <v>1</v>
      </c>
      <c r="L13">
        <v>2000000</v>
      </c>
      <c r="M13">
        <v>48</v>
      </c>
      <c r="N13">
        <v>48</v>
      </c>
      <c r="O13">
        <v>48</v>
      </c>
      <c r="P13">
        <v>0</v>
      </c>
      <c r="Q13" t="s">
        <v>56</v>
      </c>
      <c r="R13">
        <v>998560990067</v>
      </c>
      <c r="S13">
        <v>998213</v>
      </c>
      <c r="T13">
        <v>998560990067</v>
      </c>
      <c r="U13">
        <v>998213</v>
      </c>
      <c r="V13" t="s">
        <v>65</v>
      </c>
      <c r="W13">
        <v>6</v>
      </c>
      <c r="X13">
        <v>53586</v>
      </c>
      <c r="Y13">
        <v>1073068</v>
      </c>
      <c r="Z13">
        <v>1126654</v>
      </c>
      <c r="AA13">
        <v>998213</v>
      </c>
      <c r="AB13">
        <v>21.025200000000002</v>
      </c>
      <c r="AC13">
        <v>0.93024200000000001</v>
      </c>
      <c r="AD13">
        <v>1.8859999999999999</v>
      </c>
      <c r="AE13">
        <v>3.0438200000000002</v>
      </c>
      <c r="AF13">
        <v>21484448</v>
      </c>
      <c r="AG13" t="s">
        <v>120</v>
      </c>
      <c r="AH13" t="s">
        <v>121</v>
      </c>
      <c r="AI13">
        <v>16119</v>
      </c>
      <c r="AJ13">
        <v>335990</v>
      </c>
      <c r="AK13">
        <v>10786989618</v>
      </c>
      <c r="AL13">
        <v>1436559062750</v>
      </c>
      <c r="AM13">
        <v>3655992778</v>
      </c>
      <c r="AN13">
        <v>0</v>
      </c>
      <c r="AO13">
        <v>36924722</v>
      </c>
      <c r="AP13">
        <v>3655992778</v>
      </c>
      <c r="AQ13">
        <v>3692917500</v>
      </c>
      <c r="AR13">
        <v>121866425</v>
      </c>
      <c r="AS13">
        <v>0</v>
      </c>
      <c r="AT13">
        <v>1230824</v>
      </c>
      <c r="AU13">
        <v>121866425</v>
      </c>
      <c r="AV13">
        <v>123097250</v>
      </c>
      <c r="AW13">
        <v>8.4165500000000009</v>
      </c>
      <c r="AX13">
        <v>0.110337</v>
      </c>
      <c r="AY13">
        <v>1079.81</v>
      </c>
      <c r="AZ13">
        <v>384.92500000000001</v>
      </c>
      <c r="BA13">
        <v>1214</v>
      </c>
      <c r="BB13">
        <v>28</v>
      </c>
      <c r="BC13" t="str">
        <f t="shared" si="8"/>
        <v>u=1%, k=2x10^6</v>
      </c>
      <c r="BD13">
        <f t="shared" si="9"/>
        <v>73</v>
      </c>
      <c r="BE13">
        <f t="shared" si="10"/>
        <v>72864</v>
      </c>
      <c r="BF13">
        <f t="shared" si="11"/>
        <v>29.928313807291669</v>
      </c>
      <c r="BG13">
        <f t="shared" si="12"/>
        <v>0.22472895037499999</v>
      </c>
      <c r="BH13">
        <f t="shared" si="5"/>
        <v>693535</v>
      </c>
      <c r="BI13">
        <f t="shared" si="6"/>
        <v>1004934</v>
      </c>
      <c r="BJ13">
        <f t="shared" si="7"/>
        <v>0</v>
      </c>
    </row>
    <row r="14" spans="1:62">
      <c r="A14" t="s">
        <v>122</v>
      </c>
      <c r="B14" t="s">
        <v>57</v>
      </c>
      <c r="C14">
        <v>72</v>
      </c>
      <c r="D14" t="s">
        <v>58</v>
      </c>
      <c r="E14" t="s">
        <v>54</v>
      </c>
      <c r="F14" t="s">
        <v>55</v>
      </c>
      <c r="G14">
        <v>30000</v>
      </c>
      <c r="H14">
        <v>0.5</v>
      </c>
      <c r="I14">
        <v>0.5</v>
      </c>
      <c r="J14">
        <v>0</v>
      </c>
      <c r="K14">
        <v>1</v>
      </c>
      <c r="L14">
        <v>2000000</v>
      </c>
      <c r="M14">
        <v>96</v>
      </c>
      <c r="N14">
        <v>96</v>
      </c>
      <c r="O14">
        <v>96</v>
      </c>
      <c r="P14">
        <v>0</v>
      </c>
      <c r="Q14" t="s">
        <v>56</v>
      </c>
      <c r="R14">
        <v>1000656464180</v>
      </c>
      <c r="S14">
        <v>1000508</v>
      </c>
      <c r="T14">
        <v>1000656464180</v>
      </c>
      <c r="U14">
        <v>1000508</v>
      </c>
      <c r="V14" t="s">
        <v>65</v>
      </c>
      <c r="W14">
        <v>6</v>
      </c>
      <c r="X14">
        <v>67514</v>
      </c>
      <c r="Y14">
        <v>1102756</v>
      </c>
      <c r="Z14">
        <v>1170270</v>
      </c>
      <c r="AA14">
        <v>1000508</v>
      </c>
      <c r="AB14">
        <v>17.3337</v>
      </c>
      <c r="AC14">
        <v>0.90727999999999998</v>
      </c>
      <c r="AD14">
        <v>1.85494</v>
      </c>
      <c r="AE14">
        <v>3.0731099999999998</v>
      </c>
      <c r="AF14">
        <v>23090000</v>
      </c>
      <c r="AG14" t="s">
        <v>123</v>
      </c>
      <c r="AH14" t="s">
        <v>124</v>
      </c>
      <c r="AI14">
        <v>86239</v>
      </c>
      <c r="AJ14">
        <v>160748</v>
      </c>
      <c r="AK14">
        <v>40469325501</v>
      </c>
      <c r="AL14">
        <v>2873118717808</v>
      </c>
      <c r="AM14">
        <v>6942515059</v>
      </c>
      <c r="AN14">
        <v>0</v>
      </c>
      <c r="AO14">
        <v>70128399</v>
      </c>
      <c r="AP14">
        <v>6942515059</v>
      </c>
      <c r="AQ14">
        <v>7012643458</v>
      </c>
      <c r="AR14">
        <v>231417168</v>
      </c>
      <c r="AS14">
        <v>0</v>
      </c>
      <c r="AT14">
        <v>2337613</v>
      </c>
      <c r="AU14">
        <v>231417168</v>
      </c>
      <c r="AV14">
        <v>233754781</v>
      </c>
      <c r="AW14">
        <v>8.4520099999999996</v>
      </c>
      <c r="AX14">
        <v>0.24959899999999999</v>
      </c>
      <c r="AY14">
        <v>1136.77</v>
      </c>
      <c r="AZ14">
        <v>415.30700000000002</v>
      </c>
      <c r="BA14">
        <v>1276</v>
      </c>
      <c r="BB14">
        <v>168</v>
      </c>
      <c r="BC14" t="str">
        <f t="shared" si="8"/>
        <v>u=1%, k=2x10^6</v>
      </c>
      <c r="BD14">
        <f t="shared" si="9"/>
        <v>140</v>
      </c>
      <c r="BE14">
        <f t="shared" si="10"/>
        <v>219724</v>
      </c>
      <c r="BF14">
        <f t="shared" si="11"/>
        <v>29.928319977166666</v>
      </c>
      <c r="BG14">
        <f t="shared" si="12"/>
        <v>0.42155547396874998</v>
      </c>
      <c r="BH14">
        <f t="shared" si="5"/>
        <v>380211</v>
      </c>
      <c r="BI14">
        <f t="shared" si="6"/>
        <v>1619653</v>
      </c>
      <c r="BJ14">
        <f t="shared" si="7"/>
        <v>0</v>
      </c>
    </row>
    <row r="15" spans="1:62">
      <c r="A15" t="s">
        <v>125</v>
      </c>
      <c r="B15" t="s">
        <v>57</v>
      </c>
      <c r="C15">
        <v>72</v>
      </c>
      <c r="D15" t="s">
        <v>58</v>
      </c>
      <c r="E15" t="s">
        <v>54</v>
      </c>
      <c r="F15" t="s">
        <v>55</v>
      </c>
      <c r="G15">
        <v>30000</v>
      </c>
      <c r="H15">
        <v>0.5</v>
      </c>
      <c r="I15">
        <v>0.5</v>
      </c>
      <c r="J15">
        <v>0</v>
      </c>
      <c r="K15">
        <v>1</v>
      </c>
      <c r="L15">
        <v>2000000</v>
      </c>
      <c r="M15">
        <v>144</v>
      </c>
      <c r="N15">
        <v>144</v>
      </c>
      <c r="O15">
        <v>144</v>
      </c>
      <c r="P15">
        <v>0</v>
      </c>
      <c r="Q15" t="s">
        <v>56</v>
      </c>
      <c r="R15">
        <v>1000667815926</v>
      </c>
      <c r="S15">
        <v>1000317</v>
      </c>
      <c r="T15">
        <v>1000667815926</v>
      </c>
      <c r="U15">
        <v>1000317</v>
      </c>
      <c r="V15" t="s">
        <v>65</v>
      </c>
      <c r="W15">
        <v>6</v>
      </c>
      <c r="X15">
        <v>50573</v>
      </c>
      <c r="Y15">
        <v>1068027</v>
      </c>
      <c r="Z15">
        <v>1118600</v>
      </c>
      <c r="AA15">
        <v>1000317</v>
      </c>
      <c r="AB15">
        <v>22.118500000000001</v>
      </c>
      <c r="AC15">
        <v>0.93660299999999996</v>
      </c>
      <c r="AD15">
        <v>1.8942600000000001</v>
      </c>
      <c r="AE15">
        <v>3.0363799999999999</v>
      </c>
      <c r="AF15">
        <v>21149488</v>
      </c>
      <c r="AG15" t="s">
        <v>126</v>
      </c>
      <c r="AH15" t="s">
        <v>127</v>
      </c>
      <c r="AI15">
        <v>207691</v>
      </c>
      <c r="AJ15">
        <v>104984</v>
      </c>
      <c r="AK15">
        <v>83210424708</v>
      </c>
      <c r="AL15">
        <v>4309678792188</v>
      </c>
      <c r="AM15">
        <v>10127525547</v>
      </c>
      <c r="AN15">
        <v>0</v>
      </c>
      <c r="AO15">
        <v>102316544</v>
      </c>
      <c r="AP15">
        <v>10127525547</v>
      </c>
      <c r="AQ15">
        <v>10229842091</v>
      </c>
      <c r="AR15">
        <v>337584184</v>
      </c>
      <c r="AS15">
        <v>0</v>
      </c>
      <c r="AT15">
        <v>3410551</v>
      </c>
      <c r="AU15">
        <v>337584184</v>
      </c>
      <c r="AV15">
        <v>340994736</v>
      </c>
      <c r="AW15">
        <v>8.5656700000000008</v>
      </c>
      <c r="AX15">
        <v>0.35626200000000002</v>
      </c>
      <c r="AY15">
        <v>1156.75</v>
      </c>
      <c r="AZ15">
        <v>431.84699999999998</v>
      </c>
      <c r="BA15">
        <v>1351</v>
      </c>
      <c r="BB15">
        <v>289</v>
      </c>
      <c r="BC15" t="str">
        <f t="shared" si="8"/>
        <v>u=1%, k=2x10^6</v>
      </c>
      <c r="BD15">
        <f t="shared" si="9"/>
        <v>204</v>
      </c>
      <c r="BE15">
        <f t="shared" si="10"/>
        <v>596357</v>
      </c>
      <c r="BF15">
        <f t="shared" si="11"/>
        <v>29.928324945750003</v>
      </c>
      <c r="BG15">
        <f t="shared" si="12"/>
        <v>0.57785017158333341</v>
      </c>
      <c r="BH15">
        <f t="shared" si="5"/>
        <v>107340</v>
      </c>
      <c r="BI15">
        <f t="shared" si="6"/>
        <v>1661746</v>
      </c>
      <c r="BJ15">
        <f t="shared" si="7"/>
        <v>0</v>
      </c>
    </row>
    <row r="16" spans="1:62">
      <c r="A16" t="s">
        <v>128</v>
      </c>
      <c r="B16" t="s">
        <v>57</v>
      </c>
      <c r="C16">
        <v>72</v>
      </c>
      <c r="D16" t="s">
        <v>58</v>
      </c>
      <c r="E16" t="s">
        <v>54</v>
      </c>
      <c r="F16" t="s">
        <v>55</v>
      </c>
      <c r="G16">
        <v>30000</v>
      </c>
      <c r="H16">
        <v>0.5</v>
      </c>
      <c r="I16">
        <v>0.5</v>
      </c>
      <c r="J16">
        <v>0</v>
      </c>
      <c r="K16">
        <v>1</v>
      </c>
      <c r="L16">
        <v>2000000</v>
      </c>
      <c r="M16">
        <v>190</v>
      </c>
      <c r="N16">
        <v>190</v>
      </c>
      <c r="O16">
        <v>190</v>
      </c>
      <c r="P16">
        <v>0</v>
      </c>
      <c r="Q16" t="s">
        <v>56</v>
      </c>
      <c r="R16">
        <v>1000413599946</v>
      </c>
      <c r="S16">
        <v>999862</v>
      </c>
      <c r="T16">
        <v>1000413599946</v>
      </c>
      <c r="U16">
        <v>999862</v>
      </c>
      <c r="V16" t="s">
        <v>65</v>
      </c>
      <c r="W16">
        <v>6</v>
      </c>
      <c r="X16">
        <v>54733</v>
      </c>
      <c r="Y16">
        <v>1075739</v>
      </c>
      <c r="Z16">
        <v>1130472</v>
      </c>
      <c r="AA16">
        <v>999862</v>
      </c>
      <c r="AB16">
        <v>20.654299999999999</v>
      </c>
      <c r="AC16">
        <v>0.92946499999999999</v>
      </c>
      <c r="AD16">
        <v>1.88446</v>
      </c>
      <c r="AE16">
        <v>3.0455100000000002</v>
      </c>
      <c r="AF16">
        <v>21612992</v>
      </c>
      <c r="AG16" t="s">
        <v>129</v>
      </c>
      <c r="AH16" t="s">
        <v>130</v>
      </c>
      <c r="AI16">
        <v>315048</v>
      </c>
      <c r="AJ16">
        <v>90612</v>
      </c>
      <c r="AK16">
        <v>117509172328</v>
      </c>
      <c r="AL16">
        <v>5686382521377</v>
      </c>
      <c r="AM16">
        <v>12845463130</v>
      </c>
      <c r="AN16">
        <v>0</v>
      </c>
      <c r="AO16">
        <v>129757846</v>
      </c>
      <c r="AP16">
        <v>12845463130</v>
      </c>
      <c r="AQ16">
        <v>12975220976</v>
      </c>
      <c r="AR16">
        <v>428182104</v>
      </c>
      <c r="AS16">
        <v>0</v>
      </c>
      <c r="AT16">
        <v>4325261</v>
      </c>
      <c r="AU16">
        <v>428182104</v>
      </c>
      <c r="AV16">
        <v>432507365</v>
      </c>
      <c r="AW16">
        <v>8.6679499999999994</v>
      </c>
      <c r="AX16">
        <v>0.41316799999999998</v>
      </c>
      <c r="AY16">
        <v>1201.72</v>
      </c>
      <c r="AZ16">
        <v>458.39499999999998</v>
      </c>
      <c r="BA16">
        <v>1423</v>
      </c>
      <c r="BB16">
        <v>284</v>
      </c>
      <c r="BC16" t="str">
        <f t="shared" si="8"/>
        <v>u=1%, k=2x10^6</v>
      </c>
      <c r="BD16">
        <f t="shared" si="9"/>
        <v>259</v>
      </c>
      <c r="BE16">
        <f t="shared" si="10"/>
        <v>609329</v>
      </c>
      <c r="BF16">
        <f t="shared" si="11"/>
        <v>29.928329059878944</v>
      </c>
      <c r="BG16">
        <f t="shared" si="12"/>
        <v>0.6184693280421053</v>
      </c>
      <c r="BH16">
        <f t="shared" si="5"/>
        <v>294930</v>
      </c>
      <c r="BI16">
        <f t="shared" si="6"/>
        <v>2435413</v>
      </c>
      <c r="BJ16">
        <f t="shared" si="7"/>
        <v>0</v>
      </c>
    </row>
    <row r="17" spans="1:62">
      <c r="A17" t="s">
        <v>131</v>
      </c>
      <c r="B17" t="s">
        <v>57</v>
      </c>
      <c r="C17">
        <v>72</v>
      </c>
      <c r="D17" t="s">
        <v>58</v>
      </c>
      <c r="E17" t="s">
        <v>54</v>
      </c>
      <c r="F17" t="s">
        <v>55</v>
      </c>
      <c r="G17">
        <v>30000</v>
      </c>
      <c r="H17">
        <v>0.5</v>
      </c>
      <c r="I17">
        <v>0.5</v>
      </c>
      <c r="J17">
        <v>0</v>
      </c>
      <c r="K17">
        <v>1</v>
      </c>
      <c r="L17">
        <v>200000000</v>
      </c>
      <c r="M17">
        <v>24</v>
      </c>
      <c r="N17">
        <v>24</v>
      </c>
      <c r="O17">
        <v>24</v>
      </c>
      <c r="P17">
        <v>0</v>
      </c>
      <c r="Q17" t="s">
        <v>56</v>
      </c>
      <c r="R17">
        <v>9999972228798670</v>
      </c>
      <c r="S17">
        <v>100002847</v>
      </c>
      <c r="T17">
        <v>9999972228798670</v>
      </c>
      <c r="U17">
        <v>100002847</v>
      </c>
      <c r="V17" t="s">
        <v>65</v>
      </c>
      <c r="W17">
        <v>7</v>
      </c>
      <c r="X17">
        <v>12911718</v>
      </c>
      <c r="Y17">
        <v>113853537</v>
      </c>
      <c r="Z17">
        <v>126765255</v>
      </c>
      <c r="AA17">
        <v>100002847</v>
      </c>
      <c r="AB17">
        <v>9.81785</v>
      </c>
      <c r="AC17">
        <v>0.87834599999999996</v>
      </c>
      <c r="AD17">
        <v>1.78888</v>
      </c>
      <c r="AE17">
        <v>4.0388999999999999</v>
      </c>
      <c r="AF17">
        <v>2855580960</v>
      </c>
      <c r="AG17" t="s">
        <v>132</v>
      </c>
      <c r="AH17" t="s">
        <v>132</v>
      </c>
      <c r="AJ17">
        <v>318396</v>
      </c>
      <c r="AK17">
        <v>257415660</v>
      </c>
      <c r="AL17">
        <v>718279743596</v>
      </c>
      <c r="AM17">
        <v>856778833</v>
      </c>
      <c r="AN17">
        <v>0</v>
      </c>
      <c r="AO17">
        <v>8655581</v>
      </c>
      <c r="AP17">
        <v>856778833</v>
      </c>
      <c r="AQ17">
        <v>865434414</v>
      </c>
      <c r="AR17">
        <v>28559294</v>
      </c>
      <c r="AS17">
        <v>0</v>
      </c>
      <c r="AT17">
        <v>288519</v>
      </c>
      <c r="AU17">
        <v>28559294</v>
      </c>
      <c r="AV17">
        <v>28847813</v>
      </c>
      <c r="AW17">
        <v>18.7988</v>
      </c>
      <c r="AX17">
        <v>8.2041599999999999</v>
      </c>
      <c r="AY17">
        <v>2319.6</v>
      </c>
      <c r="AZ17">
        <v>1734.64</v>
      </c>
      <c r="BA17">
        <v>7280</v>
      </c>
      <c r="BB17">
        <v>1536</v>
      </c>
      <c r="BC17" t="str">
        <f t="shared" si="8"/>
        <v>u=1%, k=2x10^8</v>
      </c>
      <c r="BD17">
        <f t="shared" si="9"/>
        <v>0</v>
      </c>
      <c r="BE17">
        <f t="shared" si="10"/>
        <v>0</v>
      </c>
      <c r="BF17">
        <f t="shared" si="11"/>
        <v>29.928322649833333</v>
      </c>
      <c r="BG17">
        <f t="shared" si="12"/>
        <v>1.07256525E-2</v>
      </c>
      <c r="BH17">
        <f t="shared" si="5"/>
        <v>0</v>
      </c>
      <c r="BI17">
        <f t="shared" si="6"/>
        <v>108502</v>
      </c>
      <c r="BJ17">
        <f t="shared" si="7"/>
        <v>68032</v>
      </c>
    </row>
    <row r="18" spans="1:62">
      <c r="A18" t="s">
        <v>133</v>
      </c>
      <c r="B18" t="s">
        <v>57</v>
      </c>
      <c r="C18">
        <v>72</v>
      </c>
      <c r="D18" t="s">
        <v>58</v>
      </c>
      <c r="E18" t="s">
        <v>54</v>
      </c>
      <c r="F18" t="s">
        <v>55</v>
      </c>
      <c r="G18">
        <v>30000</v>
      </c>
      <c r="H18">
        <v>0.5</v>
      </c>
      <c r="I18">
        <v>0.5</v>
      </c>
      <c r="J18">
        <v>0</v>
      </c>
      <c r="K18">
        <v>1</v>
      </c>
      <c r="L18">
        <v>200000000</v>
      </c>
      <c r="M18">
        <v>48</v>
      </c>
      <c r="N18">
        <v>48</v>
      </c>
      <c r="O18">
        <v>48</v>
      </c>
      <c r="P18">
        <v>0</v>
      </c>
      <c r="Q18" t="s">
        <v>56</v>
      </c>
      <c r="R18">
        <v>9999692431455050</v>
      </c>
      <c r="S18">
        <v>100000461</v>
      </c>
      <c r="T18">
        <v>9999692431455050</v>
      </c>
      <c r="U18">
        <v>100000461</v>
      </c>
      <c r="V18" t="s">
        <v>65</v>
      </c>
      <c r="W18">
        <v>7</v>
      </c>
      <c r="X18">
        <v>13893421</v>
      </c>
      <c r="Y18">
        <v>115911981</v>
      </c>
      <c r="Z18">
        <v>129805402</v>
      </c>
      <c r="AA18">
        <v>100000461</v>
      </c>
      <c r="AB18">
        <v>9.3429400000000005</v>
      </c>
      <c r="AC18">
        <v>0.86272800000000005</v>
      </c>
      <c r="AD18">
        <v>1.7703899999999999</v>
      </c>
      <c r="AE18">
        <v>4.0595600000000003</v>
      </c>
      <c r="AF18">
        <v>2968186272</v>
      </c>
      <c r="AG18" t="s">
        <v>134</v>
      </c>
      <c r="AH18" t="s">
        <v>134</v>
      </c>
      <c r="AJ18">
        <v>136876</v>
      </c>
      <c r="AK18">
        <v>1239720027</v>
      </c>
      <c r="AL18">
        <v>1436559528181</v>
      </c>
      <c r="AM18">
        <v>1501747950</v>
      </c>
      <c r="AN18">
        <v>0</v>
      </c>
      <c r="AO18">
        <v>15171731</v>
      </c>
      <c r="AP18">
        <v>1501747950</v>
      </c>
      <c r="AQ18">
        <v>1516919681</v>
      </c>
      <c r="AR18">
        <v>50058265</v>
      </c>
      <c r="AS18">
        <v>0</v>
      </c>
      <c r="AT18">
        <v>505724</v>
      </c>
      <c r="AU18">
        <v>50058265</v>
      </c>
      <c r="AV18">
        <v>50563989</v>
      </c>
      <c r="AW18">
        <v>18.890899999999998</v>
      </c>
      <c r="AX18">
        <v>8.2880400000000005</v>
      </c>
      <c r="AY18">
        <v>2643.71</v>
      </c>
      <c r="AZ18">
        <v>1962.94</v>
      </c>
      <c r="BA18">
        <v>7479</v>
      </c>
      <c r="BB18">
        <v>1307</v>
      </c>
      <c r="BC18" t="str">
        <f t="shared" si="8"/>
        <v>u=1%, k=2x10^8</v>
      </c>
      <c r="BD18">
        <f t="shared" si="9"/>
        <v>0</v>
      </c>
      <c r="BE18">
        <f t="shared" si="10"/>
        <v>0</v>
      </c>
      <c r="BF18">
        <f t="shared" si="11"/>
        <v>29.92832350377083</v>
      </c>
      <c r="BG18">
        <f t="shared" si="12"/>
        <v>2.5827500562499998E-2</v>
      </c>
      <c r="BH18">
        <f t="shared" si="5"/>
        <v>1</v>
      </c>
      <c r="BI18">
        <f t="shared" si="6"/>
        <v>449958</v>
      </c>
      <c r="BJ18">
        <f t="shared" si="7"/>
        <v>166795</v>
      </c>
    </row>
    <row r="19" spans="1:62">
      <c r="A19" t="s">
        <v>135</v>
      </c>
      <c r="B19" t="s">
        <v>57</v>
      </c>
      <c r="C19">
        <v>72</v>
      </c>
      <c r="D19" t="s">
        <v>58</v>
      </c>
      <c r="E19" t="s">
        <v>54</v>
      </c>
      <c r="F19" t="s">
        <v>55</v>
      </c>
      <c r="G19">
        <v>30000</v>
      </c>
      <c r="H19">
        <v>0.5</v>
      </c>
      <c r="I19">
        <v>0.5</v>
      </c>
      <c r="J19">
        <v>0</v>
      </c>
      <c r="K19">
        <v>1</v>
      </c>
      <c r="L19">
        <v>200000000</v>
      </c>
      <c r="M19">
        <v>96</v>
      </c>
      <c r="N19">
        <v>96</v>
      </c>
      <c r="O19">
        <v>96</v>
      </c>
      <c r="P19">
        <v>0</v>
      </c>
      <c r="Q19" t="s">
        <v>56</v>
      </c>
      <c r="R19">
        <v>9999770377891520</v>
      </c>
      <c r="S19">
        <v>100004646</v>
      </c>
      <c r="T19">
        <v>9999770377891520</v>
      </c>
      <c r="U19">
        <v>100004646</v>
      </c>
      <c r="V19" t="s">
        <v>65</v>
      </c>
      <c r="W19">
        <v>7</v>
      </c>
      <c r="X19">
        <v>14933326</v>
      </c>
      <c r="Y19">
        <v>118232647</v>
      </c>
      <c r="Z19">
        <v>133165973</v>
      </c>
      <c r="AA19">
        <v>100004646</v>
      </c>
      <c r="AB19">
        <v>8.91737</v>
      </c>
      <c r="AC19">
        <v>0.84582900000000005</v>
      </c>
      <c r="AD19">
        <v>1.75098</v>
      </c>
      <c r="AE19">
        <v>4.0819200000000002</v>
      </c>
      <c r="AF19">
        <v>3090561312</v>
      </c>
      <c r="AG19" t="s">
        <v>136</v>
      </c>
      <c r="AH19" t="s">
        <v>136</v>
      </c>
      <c r="AJ19">
        <v>67794</v>
      </c>
      <c r="AK19">
        <v>5761296590</v>
      </c>
      <c r="AL19">
        <v>2873119671865</v>
      </c>
      <c r="AM19">
        <v>3005045116</v>
      </c>
      <c r="AN19">
        <v>0</v>
      </c>
      <c r="AO19">
        <v>30347743</v>
      </c>
      <c r="AP19">
        <v>3005045116</v>
      </c>
      <c r="AQ19">
        <v>3035392859</v>
      </c>
      <c r="AR19">
        <v>100168170</v>
      </c>
      <c r="AS19">
        <v>0</v>
      </c>
      <c r="AT19">
        <v>1011591</v>
      </c>
      <c r="AU19">
        <v>100168170</v>
      </c>
      <c r="AV19">
        <v>101179761</v>
      </c>
      <c r="AW19">
        <v>19.219899999999999</v>
      </c>
      <c r="AX19">
        <v>9.1577400000000004</v>
      </c>
      <c r="AY19">
        <v>2640.19</v>
      </c>
      <c r="AZ19">
        <v>1913.92</v>
      </c>
      <c r="BA19">
        <v>7907</v>
      </c>
      <c r="BB19">
        <v>1084</v>
      </c>
      <c r="BC19" t="str">
        <f t="shared" si="8"/>
        <v>u=1%, k=2x10^8</v>
      </c>
      <c r="BD19">
        <f t="shared" si="9"/>
        <v>0</v>
      </c>
      <c r="BE19">
        <f t="shared" si="10"/>
        <v>0</v>
      </c>
      <c r="BF19">
        <f t="shared" si="11"/>
        <v>29.928329915260417</v>
      </c>
      <c r="BG19">
        <f t="shared" si="12"/>
        <v>6.0013506145833333E-2</v>
      </c>
      <c r="BH19">
        <f t="shared" si="5"/>
        <v>15608</v>
      </c>
      <c r="BI19">
        <f t="shared" si="6"/>
        <v>2057392</v>
      </c>
      <c r="BJ19">
        <f t="shared" si="7"/>
        <v>426041</v>
      </c>
    </row>
    <row r="20" spans="1:62">
      <c r="A20" t="s">
        <v>137</v>
      </c>
      <c r="B20" t="s">
        <v>57</v>
      </c>
      <c r="C20">
        <v>72</v>
      </c>
      <c r="D20" t="s">
        <v>58</v>
      </c>
      <c r="E20" t="s">
        <v>54</v>
      </c>
      <c r="F20" t="s">
        <v>55</v>
      </c>
      <c r="G20">
        <v>30000</v>
      </c>
      <c r="H20">
        <v>0.5</v>
      </c>
      <c r="I20">
        <v>0.5</v>
      </c>
      <c r="J20">
        <v>0</v>
      </c>
      <c r="K20">
        <v>1</v>
      </c>
      <c r="L20">
        <v>200000000</v>
      </c>
      <c r="M20">
        <v>144</v>
      </c>
      <c r="N20">
        <v>144</v>
      </c>
      <c r="O20">
        <v>144</v>
      </c>
      <c r="P20">
        <v>0</v>
      </c>
      <c r="Q20" t="s">
        <v>56</v>
      </c>
      <c r="R20">
        <v>9998886901760700</v>
      </c>
      <c r="S20">
        <v>99990020</v>
      </c>
      <c r="T20">
        <v>9998886901760700</v>
      </c>
      <c r="U20">
        <v>99990020</v>
      </c>
      <c r="V20" t="s">
        <v>65</v>
      </c>
      <c r="W20">
        <v>7</v>
      </c>
      <c r="X20">
        <v>13693006</v>
      </c>
      <c r="Y20">
        <v>115540909</v>
      </c>
      <c r="Z20">
        <v>129233915</v>
      </c>
      <c r="AA20">
        <v>99990020</v>
      </c>
      <c r="AB20">
        <v>9.4379500000000007</v>
      </c>
      <c r="AC20">
        <v>0.86540799999999996</v>
      </c>
      <c r="AD20">
        <v>1.7737099999999999</v>
      </c>
      <c r="AE20">
        <v>4.0533000000000001</v>
      </c>
      <c r="AF20">
        <v>2946947168</v>
      </c>
      <c r="AG20" t="s">
        <v>138</v>
      </c>
      <c r="AH20" t="s">
        <v>139</v>
      </c>
      <c r="AI20">
        <v>480</v>
      </c>
      <c r="AJ20">
        <v>43460</v>
      </c>
      <c r="AK20">
        <v>19584179554</v>
      </c>
      <c r="AL20">
        <v>4309938133839</v>
      </c>
      <c r="AM20">
        <v>4411844767</v>
      </c>
      <c r="AN20">
        <v>0</v>
      </c>
      <c r="AO20">
        <v>44562235</v>
      </c>
      <c r="AP20">
        <v>4411844767</v>
      </c>
      <c r="AQ20">
        <v>4456407002</v>
      </c>
      <c r="AR20">
        <v>147061492</v>
      </c>
      <c r="AS20">
        <v>0</v>
      </c>
      <c r="AT20">
        <v>1485407</v>
      </c>
      <c r="AU20">
        <v>147061492</v>
      </c>
      <c r="AV20">
        <v>148546900</v>
      </c>
      <c r="AW20">
        <v>19.381399999999999</v>
      </c>
      <c r="AX20">
        <v>9.4764800000000005</v>
      </c>
      <c r="AY20">
        <v>2691.11</v>
      </c>
      <c r="AZ20">
        <v>1946.42</v>
      </c>
      <c r="BA20">
        <v>8892</v>
      </c>
      <c r="BB20">
        <v>1105</v>
      </c>
      <c r="BC20" t="str">
        <f t="shared" si="8"/>
        <v>u=1%, k=2x10^8</v>
      </c>
      <c r="BD20">
        <f t="shared" si="9"/>
        <v>0</v>
      </c>
      <c r="BE20">
        <f t="shared" si="10"/>
        <v>2400</v>
      </c>
      <c r="BF20">
        <f t="shared" si="11"/>
        <v>29.930125929437501</v>
      </c>
      <c r="BG20">
        <f t="shared" si="12"/>
        <v>0.13600124690277776</v>
      </c>
      <c r="BH20">
        <f t="shared" si="5"/>
        <v>307741</v>
      </c>
      <c r="BI20">
        <f t="shared" si="6"/>
        <v>3767150</v>
      </c>
      <c r="BJ20">
        <f t="shared" si="7"/>
        <v>631191</v>
      </c>
    </row>
    <row r="21" spans="1:62">
      <c r="A21" t="s">
        <v>140</v>
      </c>
      <c r="B21" t="s">
        <v>57</v>
      </c>
      <c r="C21">
        <v>72</v>
      </c>
      <c r="D21" t="s">
        <v>58</v>
      </c>
      <c r="E21" t="s">
        <v>54</v>
      </c>
      <c r="F21" t="s">
        <v>55</v>
      </c>
      <c r="G21">
        <v>30000</v>
      </c>
      <c r="H21">
        <v>0.5</v>
      </c>
      <c r="I21">
        <v>0.5</v>
      </c>
      <c r="J21">
        <v>0</v>
      </c>
      <c r="K21">
        <v>1</v>
      </c>
      <c r="L21">
        <v>200000000</v>
      </c>
      <c r="M21">
        <v>190</v>
      </c>
      <c r="N21">
        <v>190</v>
      </c>
      <c r="O21">
        <v>190</v>
      </c>
      <c r="P21">
        <v>0</v>
      </c>
      <c r="Q21" t="s">
        <v>56</v>
      </c>
      <c r="R21">
        <v>1.00009694966803E+16</v>
      </c>
      <c r="S21">
        <v>100004257</v>
      </c>
      <c r="T21">
        <v>1.00009694966803E+16</v>
      </c>
      <c r="U21">
        <v>100004257</v>
      </c>
      <c r="V21" t="s">
        <v>65</v>
      </c>
      <c r="W21">
        <v>7</v>
      </c>
      <c r="X21">
        <v>12627822</v>
      </c>
      <c r="Y21">
        <v>113272646</v>
      </c>
      <c r="Z21">
        <v>125900468</v>
      </c>
      <c r="AA21">
        <v>100004257</v>
      </c>
      <c r="AB21">
        <v>9.9700900000000008</v>
      </c>
      <c r="AC21">
        <v>0.88286299999999995</v>
      </c>
      <c r="AD21">
        <v>1.7943100000000001</v>
      </c>
      <c r="AE21">
        <v>4.0329800000000002</v>
      </c>
      <c r="AF21">
        <v>2823288368</v>
      </c>
      <c r="AG21" t="s">
        <v>141</v>
      </c>
      <c r="AH21" t="s">
        <v>142</v>
      </c>
      <c r="AI21">
        <v>4400</v>
      </c>
      <c r="AJ21">
        <v>32932</v>
      </c>
      <c r="AK21">
        <v>119114364454</v>
      </c>
      <c r="AL21">
        <v>5686579160303</v>
      </c>
      <c r="AM21">
        <v>5657610661</v>
      </c>
      <c r="AN21">
        <v>0</v>
      </c>
      <c r="AO21">
        <v>57146668</v>
      </c>
      <c r="AP21">
        <v>5657610661</v>
      </c>
      <c r="AQ21">
        <v>5714757329</v>
      </c>
      <c r="AR21">
        <v>188587022</v>
      </c>
      <c r="AS21">
        <v>0</v>
      </c>
      <c r="AT21">
        <v>1904888</v>
      </c>
      <c r="AU21">
        <v>188587022</v>
      </c>
      <c r="AV21">
        <v>190491910</v>
      </c>
      <c r="AW21">
        <v>19.436599999999999</v>
      </c>
      <c r="AX21">
        <v>9.5742200000000004</v>
      </c>
      <c r="AY21">
        <v>2718.92</v>
      </c>
      <c r="AZ21">
        <v>1974.11</v>
      </c>
      <c r="BA21">
        <v>13348</v>
      </c>
      <c r="BB21">
        <v>1070</v>
      </c>
      <c r="BC21" t="str">
        <f t="shared" si="8"/>
        <v>u=1%, k=2x10^8</v>
      </c>
      <c r="BD21">
        <f t="shared" si="9"/>
        <v>1</v>
      </c>
      <c r="BE21">
        <f t="shared" si="10"/>
        <v>10000</v>
      </c>
      <c r="BF21">
        <f t="shared" si="11"/>
        <v>29.929364001594738</v>
      </c>
      <c r="BG21">
        <f t="shared" si="12"/>
        <v>0.62691770765263155</v>
      </c>
      <c r="BH21">
        <f t="shared" si="5"/>
        <v>344299</v>
      </c>
      <c r="BI21">
        <f t="shared" si="6"/>
        <v>3953667</v>
      </c>
      <c r="BJ21">
        <f t="shared" si="7"/>
        <v>715593</v>
      </c>
    </row>
    <row r="22" spans="1:62">
      <c r="A22" t="s">
        <v>143</v>
      </c>
      <c r="B22" t="s">
        <v>57</v>
      </c>
      <c r="C22">
        <v>72</v>
      </c>
      <c r="D22" t="s">
        <v>58</v>
      </c>
      <c r="E22" t="s">
        <v>54</v>
      </c>
      <c r="F22" t="s">
        <v>55</v>
      </c>
      <c r="G22">
        <v>30000</v>
      </c>
      <c r="H22">
        <v>20</v>
      </c>
      <c r="I22">
        <v>20</v>
      </c>
      <c r="J22">
        <v>0</v>
      </c>
      <c r="K22">
        <v>1</v>
      </c>
      <c r="L22">
        <v>2000000</v>
      </c>
      <c r="M22">
        <v>24</v>
      </c>
      <c r="N22">
        <v>24</v>
      </c>
      <c r="O22">
        <v>24</v>
      </c>
      <c r="P22">
        <v>0</v>
      </c>
      <c r="Q22" t="s">
        <v>56</v>
      </c>
      <c r="R22">
        <v>998945716957</v>
      </c>
      <c r="S22">
        <v>999302</v>
      </c>
      <c r="T22">
        <v>998945716957</v>
      </c>
      <c r="U22">
        <v>999302</v>
      </c>
      <c r="V22" t="s">
        <v>65</v>
      </c>
      <c r="W22">
        <v>6</v>
      </c>
      <c r="X22">
        <v>60378</v>
      </c>
      <c r="Y22">
        <v>1087038</v>
      </c>
      <c r="Z22">
        <v>1147416</v>
      </c>
      <c r="AA22">
        <v>999302</v>
      </c>
      <c r="AB22">
        <v>19.003900000000002</v>
      </c>
      <c r="AC22">
        <v>0.91928900000000002</v>
      </c>
      <c r="AD22">
        <v>1.8709199999999999</v>
      </c>
      <c r="AE22">
        <v>3.0572300000000001</v>
      </c>
      <c r="AF22">
        <v>22249360</v>
      </c>
      <c r="AG22" t="s">
        <v>144</v>
      </c>
      <c r="AH22" t="s">
        <v>145</v>
      </c>
      <c r="AI22">
        <v>430042</v>
      </c>
      <c r="AJ22">
        <v>532958</v>
      </c>
      <c r="AK22">
        <v>89822416977</v>
      </c>
      <c r="AL22">
        <v>718280026800</v>
      </c>
      <c r="AM22">
        <v>786946733</v>
      </c>
      <c r="AN22">
        <v>0</v>
      </c>
      <c r="AO22">
        <v>524623402</v>
      </c>
      <c r="AP22">
        <v>786946733</v>
      </c>
      <c r="AQ22">
        <v>1311570135</v>
      </c>
      <c r="AR22">
        <v>26231557</v>
      </c>
      <c r="AS22">
        <v>0</v>
      </c>
      <c r="AT22">
        <v>17487446</v>
      </c>
      <c r="AU22">
        <v>26231557</v>
      </c>
      <c r="AV22">
        <v>43719004</v>
      </c>
      <c r="AW22">
        <v>15.7684</v>
      </c>
      <c r="AX22">
        <v>1.0445</v>
      </c>
      <c r="AY22">
        <v>1529.8</v>
      </c>
      <c r="AZ22">
        <v>605.69799999999998</v>
      </c>
      <c r="BA22">
        <v>1215</v>
      </c>
      <c r="BB22">
        <v>24</v>
      </c>
      <c r="BC22" t="str">
        <f t="shared" si="8"/>
        <v>u=40%, k=2x10^6</v>
      </c>
      <c r="BD22">
        <f t="shared" si="9"/>
        <v>1049</v>
      </c>
      <c r="BE22">
        <f t="shared" si="10"/>
        <v>939842</v>
      </c>
      <c r="BF22">
        <f t="shared" si="11"/>
        <v>29.928334449999998</v>
      </c>
      <c r="BG22">
        <f t="shared" si="12"/>
        <v>3.7426007073750003</v>
      </c>
      <c r="BH22">
        <f t="shared" si="5"/>
        <v>13553404</v>
      </c>
      <c r="BI22">
        <f t="shared" si="6"/>
        <v>15182139</v>
      </c>
      <c r="BJ22">
        <f t="shared" si="7"/>
        <v>0</v>
      </c>
    </row>
    <row r="23" spans="1:62">
      <c r="A23" t="s">
        <v>146</v>
      </c>
      <c r="B23" t="s">
        <v>57</v>
      </c>
      <c r="C23">
        <v>72</v>
      </c>
      <c r="D23" t="s">
        <v>58</v>
      </c>
      <c r="E23" t="s">
        <v>54</v>
      </c>
      <c r="F23" t="s">
        <v>55</v>
      </c>
      <c r="G23">
        <v>30000</v>
      </c>
      <c r="H23">
        <v>20</v>
      </c>
      <c r="I23">
        <v>20</v>
      </c>
      <c r="J23">
        <v>0</v>
      </c>
      <c r="K23">
        <v>1</v>
      </c>
      <c r="L23">
        <v>2000000</v>
      </c>
      <c r="M23">
        <v>48</v>
      </c>
      <c r="N23">
        <v>48</v>
      </c>
      <c r="O23">
        <v>48</v>
      </c>
      <c r="P23">
        <v>0</v>
      </c>
      <c r="Q23" t="s">
        <v>56</v>
      </c>
      <c r="R23">
        <v>999526392529</v>
      </c>
      <c r="S23">
        <v>999751</v>
      </c>
      <c r="T23">
        <v>999526392529</v>
      </c>
      <c r="U23">
        <v>999751</v>
      </c>
      <c r="V23" t="s">
        <v>65</v>
      </c>
      <c r="W23">
        <v>7</v>
      </c>
      <c r="X23">
        <v>69109</v>
      </c>
      <c r="Y23">
        <v>1106829</v>
      </c>
      <c r="Z23">
        <v>1175938</v>
      </c>
      <c r="AA23">
        <v>999751</v>
      </c>
      <c r="AB23">
        <v>17.015699999999999</v>
      </c>
      <c r="AC23">
        <v>0.90325699999999998</v>
      </c>
      <c r="AD23">
        <v>1.8501700000000001</v>
      </c>
      <c r="AE23">
        <v>3.0785200000000001</v>
      </c>
      <c r="AF23">
        <v>23307536</v>
      </c>
      <c r="AG23" t="s">
        <v>147</v>
      </c>
      <c r="AH23" t="s">
        <v>148</v>
      </c>
      <c r="AI23">
        <v>1714807</v>
      </c>
      <c r="AJ23">
        <v>192024</v>
      </c>
      <c r="AK23">
        <v>223720152231</v>
      </c>
      <c r="AL23">
        <v>1436560326442</v>
      </c>
      <c r="AM23">
        <v>1117219413</v>
      </c>
      <c r="AN23">
        <v>0</v>
      </c>
      <c r="AO23">
        <v>744793279</v>
      </c>
      <c r="AP23">
        <v>1117219413</v>
      </c>
      <c r="AQ23">
        <v>1862012692</v>
      </c>
      <c r="AR23">
        <v>37240647</v>
      </c>
      <c r="AS23">
        <v>0</v>
      </c>
      <c r="AT23">
        <v>24826442</v>
      </c>
      <c r="AU23">
        <v>37240647</v>
      </c>
      <c r="AV23">
        <v>62067089</v>
      </c>
      <c r="AW23">
        <v>16.210999999999999</v>
      </c>
      <c r="AX23">
        <v>1.5411999999999999</v>
      </c>
      <c r="AY23">
        <v>2107.1799999999998</v>
      </c>
      <c r="AZ23">
        <v>992.72500000000002</v>
      </c>
      <c r="BA23">
        <v>1267</v>
      </c>
      <c r="BB23">
        <v>31</v>
      </c>
      <c r="BC23" t="str">
        <f t="shared" si="8"/>
        <v>u=40%, k=2x10^6</v>
      </c>
      <c r="BD23">
        <f t="shared" si="9"/>
        <v>1489</v>
      </c>
      <c r="BE23">
        <f t="shared" si="10"/>
        <v>1468141</v>
      </c>
      <c r="BF23">
        <f t="shared" si="11"/>
        <v>29.92834013420833</v>
      </c>
      <c r="BG23">
        <f t="shared" si="12"/>
        <v>4.6608365048125</v>
      </c>
      <c r="BH23">
        <f t="shared" si="5"/>
        <v>13947056</v>
      </c>
      <c r="BI23">
        <f t="shared" si="6"/>
        <v>20259533</v>
      </c>
      <c r="BJ23">
        <f t="shared" si="7"/>
        <v>0</v>
      </c>
    </row>
    <row r="24" spans="1:62">
      <c r="A24" t="s">
        <v>149</v>
      </c>
      <c r="B24" t="s">
        <v>57</v>
      </c>
      <c r="C24">
        <v>72</v>
      </c>
      <c r="D24" t="s">
        <v>58</v>
      </c>
      <c r="E24" t="s">
        <v>54</v>
      </c>
      <c r="F24" t="s">
        <v>55</v>
      </c>
      <c r="G24">
        <v>30000</v>
      </c>
      <c r="H24">
        <v>20</v>
      </c>
      <c r="I24">
        <v>20</v>
      </c>
      <c r="J24">
        <v>0</v>
      </c>
      <c r="K24">
        <v>1</v>
      </c>
      <c r="L24">
        <v>2000000</v>
      </c>
      <c r="M24">
        <v>96</v>
      </c>
      <c r="N24">
        <v>96</v>
      </c>
      <c r="O24">
        <v>96</v>
      </c>
      <c r="P24">
        <v>0</v>
      </c>
      <c r="Q24" t="s">
        <v>56</v>
      </c>
      <c r="R24">
        <v>999523752146</v>
      </c>
      <c r="S24">
        <v>999754</v>
      </c>
      <c r="T24">
        <v>999523752146</v>
      </c>
      <c r="U24">
        <v>999754</v>
      </c>
      <c r="V24" t="s">
        <v>65</v>
      </c>
      <c r="W24">
        <v>6</v>
      </c>
      <c r="X24">
        <v>50041</v>
      </c>
      <c r="Y24">
        <v>1066162</v>
      </c>
      <c r="Z24">
        <v>1116203</v>
      </c>
      <c r="AA24">
        <v>999754</v>
      </c>
      <c r="AB24">
        <v>22.305800000000001</v>
      </c>
      <c r="AC24">
        <v>0.93771300000000002</v>
      </c>
      <c r="AD24">
        <v>1.89567</v>
      </c>
      <c r="AE24">
        <v>3.0349900000000001</v>
      </c>
      <c r="AF24">
        <v>21071536</v>
      </c>
      <c r="AG24" t="s">
        <v>150</v>
      </c>
      <c r="AH24" t="s">
        <v>151</v>
      </c>
      <c r="AI24">
        <v>7214114</v>
      </c>
      <c r="AJ24">
        <v>64196</v>
      </c>
      <c r="AK24">
        <v>666083669741</v>
      </c>
      <c r="AL24">
        <v>2873120474341</v>
      </c>
      <c r="AM24">
        <v>1374120588</v>
      </c>
      <c r="AN24">
        <v>0</v>
      </c>
      <c r="AO24">
        <v>916087144</v>
      </c>
      <c r="AP24">
        <v>1374120588</v>
      </c>
      <c r="AQ24">
        <v>2290207732</v>
      </c>
      <c r="AR24">
        <v>45804019</v>
      </c>
      <c r="AS24">
        <v>0</v>
      </c>
      <c r="AT24">
        <v>30536238</v>
      </c>
      <c r="AU24">
        <v>45804019</v>
      </c>
      <c r="AV24">
        <v>76340257</v>
      </c>
      <c r="AW24">
        <v>19.485700000000001</v>
      </c>
      <c r="AX24">
        <v>6.1402700000000001</v>
      </c>
      <c r="AY24">
        <v>3499.18</v>
      </c>
      <c r="AZ24">
        <v>2338.1</v>
      </c>
      <c r="BA24">
        <v>1385</v>
      </c>
      <c r="BB24">
        <v>127</v>
      </c>
      <c r="BC24" t="str">
        <f t="shared" si="8"/>
        <v>u=40%, k=2x10^6</v>
      </c>
      <c r="BD24">
        <f t="shared" si="9"/>
        <v>1833</v>
      </c>
      <c r="BE24">
        <f t="shared" si="10"/>
        <v>2851068</v>
      </c>
      <c r="BF24">
        <f t="shared" si="11"/>
        <v>29.928338274385414</v>
      </c>
      <c r="BG24">
        <f t="shared" si="12"/>
        <v>6.938371559802083</v>
      </c>
      <c r="BH24">
        <f t="shared" si="5"/>
        <v>4973996</v>
      </c>
      <c r="BI24">
        <f t="shared" si="6"/>
        <v>21172192</v>
      </c>
      <c r="BJ24">
        <f t="shared" si="7"/>
        <v>0</v>
      </c>
    </row>
    <row r="25" spans="1:62">
      <c r="A25" t="s">
        <v>152</v>
      </c>
      <c r="B25" t="s">
        <v>57</v>
      </c>
      <c r="C25">
        <v>72</v>
      </c>
      <c r="D25" t="s">
        <v>58</v>
      </c>
      <c r="E25" t="s">
        <v>54</v>
      </c>
      <c r="F25" t="s">
        <v>55</v>
      </c>
      <c r="G25">
        <v>30000</v>
      </c>
      <c r="H25">
        <v>20</v>
      </c>
      <c r="I25">
        <v>20</v>
      </c>
      <c r="J25">
        <v>0</v>
      </c>
      <c r="K25">
        <v>1</v>
      </c>
      <c r="L25">
        <v>2000000</v>
      </c>
      <c r="M25">
        <v>144</v>
      </c>
      <c r="N25">
        <v>144</v>
      </c>
      <c r="O25">
        <v>144</v>
      </c>
      <c r="P25">
        <v>0</v>
      </c>
      <c r="Q25" t="s">
        <v>56</v>
      </c>
      <c r="R25">
        <v>1000525046476</v>
      </c>
      <c r="S25">
        <v>1000318</v>
      </c>
      <c r="T25">
        <v>1000525046476</v>
      </c>
      <c r="U25">
        <v>1000318</v>
      </c>
      <c r="V25" t="s">
        <v>65</v>
      </c>
      <c r="W25">
        <v>6</v>
      </c>
      <c r="X25">
        <v>52126</v>
      </c>
      <c r="Y25">
        <v>1071011</v>
      </c>
      <c r="Z25">
        <v>1123137</v>
      </c>
      <c r="AA25">
        <v>1000318</v>
      </c>
      <c r="AB25">
        <v>21.546600000000002</v>
      </c>
      <c r="AC25">
        <v>0.93399399999999999</v>
      </c>
      <c r="AD25">
        <v>1.8906499999999999</v>
      </c>
      <c r="AE25">
        <v>3.0396100000000001</v>
      </c>
      <c r="AF25">
        <v>21321696</v>
      </c>
      <c r="AG25" t="s">
        <v>153</v>
      </c>
      <c r="AH25" t="s">
        <v>154</v>
      </c>
      <c r="AI25">
        <v>18016616</v>
      </c>
      <c r="AJ25">
        <v>32132</v>
      </c>
      <c r="AK25">
        <v>1324065873293</v>
      </c>
      <c r="AL25">
        <v>4309683436688</v>
      </c>
      <c r="AM25">
        <v>1519469771</v>
      </c>
      <c r="AN25">
        <v>0</v>
      </c>
      <c r="AO25">
        <v>1012948674</v>
      </c>
      <c r="AP25">
        <v>1519469771</v>
      </c>
      <c r="AQ25">
        <v>2532418445</v>
      </c>
      <c r="AR25">
        <v>50648992</v>
      </c>
      <c r="AS25">
        <v>0</v>
      </c>
      <c r="AT25">
        <v>33764955</v>
      </c>
      <c r="AU25">
        <v>50648992</v>
      </c>
      <c r="AV25">
        <v>84413948</v>
      </c>
      <c r="AW25">
        <v>24.404699999999998</v>
      </c>
      <c r="AX25">
        <v>10.6334</v>
      </c>
      <c r="AY25">
        <v>4748.4799999999996</v>
      </c>
      <c r="AZ25">
        <v>3449.3</v>
      </c>
      <c r="BA25">
        <v>1578</v>
      </c>
      <c r="BB25">
        <v>322</v>
      </c>
      <c r="BC25" t="str">
        <f t="shared" si="8"/>
        <v>u=40%, k=2x10^6</v>
      </c>
      <c r="BD25">
        <f t="shared" si="9"/>
        <v>2027</v>
      </c>
      <c r="BE25">
        <f t="shared" si="10"/>
        <v>5868252</v>
      </c>
      <c r="BF25">
        <f t="shared" si="11"/>
        <v>29.928357199222223</v>
      </c>
      <c r="BG25">
        <f t="shared" si="12"/>
        <v>9.194901897868057</v>
      </c>
      <c r="BH25">
        <f t="shared" si="5"/>
        <v>1057664</v>
      </c>
      <c r="BI25">
        <f t="shared" si="6"/>
        <v>16456629</v>
      </c>
      <c r="BJ25">
        <f t="shared" si="7"/>
        <v>0</v>
      </c>
    </row>
    <row r="26" spans="1:62">
      <c r="A26" t="s">
        <v>155</v>
      </c>
      <c r="B26" t="s">
        <v>57</v>
      </c>
      <c r="C26">
        <v>72</v>
      </c>
      <c r="D26" t="s">
        <v>58</v>
      </c>
      <c r="E26" t="s">
        <v>54</v>
      </c>
      <c r="F26" t="s">
        <v>55</v>
      </c>
      <c r="G26">
        <v>30000</v>
      </c>
      <c r="H26">
        <v>20</v>
      </c>
      <c r="I26">
        <v>20</v>
      </c>
      <c r="J26">
        <v>0</v>
      </c>
      <c r="K26">
        <v>1</v>
      </c>
      <c r="L26">
        <v>2000000</v>
      </c>
      <c r="M26">
        <v>190</v>
      </c>
      <c r="N26">
        <v>190</v>
      </c>
      <c r="O26">
        <v>190</v>
      </c>
      <c r="P26">
        <v>0</v>
      </c>
      <c r="Q26" t="s">
        <v>56</v>
      </c>
      <c r="R26">
        <v>1000146015992</v>
      </c>
      <c r="S26">
        <v>999775</v>
      </c>
      <c r="T26">
        <v>1000146015992</v>
      </c>
      <c r="U26">
        <v>999775</v>
      </c>
      <c r="V26" t="s">
        <v>65</v>
      </c>
      <c r="W26">
        <v>6</v>
      </c>
      <c r="X26">
        <v>34445</v>
      </c>
      <c r="Y26">
        <v>1034669</v>
      </c>
      <c r="Z26">
        <v>1069114</v>
      </c>
      <c r="AA26">
        <v>999775</v>
      </c>
      <c r="AB26">
        <v>31.0383</v>
      </c>
      <c r="AC26">
        <v>0.966275</v>
      </c>
      <c r="AD26">
        <v>1.9351400000000001</v>
      </c>
      <c r="AE26">
        <v>3.0028899999999998</v>
      </c>
      <c r="AF26">
        <v>19310368</v>
      </c>
      <c r="AG26" t="s">
        <v>156</v>
      </c>
      <c r="AH26" t="s">
        <v>157</v>
      </c>
      <c r="AI26">
        <v>24602084</v>
      </c>
      <c r="AJ26">
        <v>20914</v>
      </c>
      <c r="AK26">
        <v>1783375384602</v>
      </c>
      <c r="AL26">
        <v>5686385184340</v>
      </c>
      <c r="AM26">
        <v>1741884255</v>
      </c>
      <c r="AN26">
        <v>0</v>
      </c>
      <c r="AO26">
        <v>1161264179</v>
      </c>
      <c r="AP26">
        <v>1741884255</v>
      </c>
      <c r="AQ26">
        <v>2903148434</v>
      </c>
      <c r="AR26">
        <v>58062808</v>
      </c>
      <c r="AS26">
        <v>0</v>
      </c>
      <c r="AT26">
        <v>38708805</v>
      </c>
      <c r="AU26">
        <v>58062808</v>
      </c>
      <c r="AV26">
        <v>96771614</v>
      </c>
      <c r="AW26">
        <v>25.048200000000001</v>
      </c>
      <c r="AX26">
        <v>11.9564</v>
      </c>
      <c r="AY26">
        <v>5460.77</v>
      </c>
      <c r="AZ26">
        <v>4158.99</v>
      </c>
      <c r="BA26">
        <v>1808</v>
      </c>
      <c r="BB26">
        <v>328</v>
      </c>
      <c r="BC26" t="str">
        <f t="shared" si="8"/>
        <v>u=40%, k=2x10^6</v>
      </c>
      <c r="BD26">
        <f t="shared" si="9"/>
        <v>2325</v>
      </c>
      <c r="BE26">
        <f t="shared" si="10"/>
        <v>5406915</v>
      </c>
      <c r="BF26">
        <f t="shared" si="11"/>
        <v>29.928343075473684</v>
      </c>
      <c r="BG26">
        <f t="shared" si="12"/>
        <v>9.3861862347473686</v>
      </c>
      <c r="BH26">
        <f t="shared" si="5"/>
        <v>2640738</v>
      </c>
      <c r="BI26">
        <f t="shared" si="6"/>
        <v>21786755</v>
      </c>
      <c r="BJ26">
        <f t="shared" si="7"/>
        <v>0</v>
      </c>
    </row>
    <row r="27" spans="1:62">
      <c r="A27" t="s">
        <v>158</v>
      </c>
      <c r="B27" t="s">
        <v>57</v>
      </c>
      <c r="C27">
        <v>72</v>
      </c>
      <c r="D27" t="s">
        <v>58</v>
      </c>
      <c r="E27" t="s">
        <v>54</v>
      </c>
      <c r="F27" t="s">
        <v>55</v>
      </c>
      <c r="G27">
        <v>30000</v>
      </c>
      <c r="H27">
        <v>20</v>
      </c>
      <c r="I27">
        <v>20</v>
      </c>
      <c r="J27">
        <v>0</v>
      </c>
      <c r="K27">
        <v>1</v>
      </c>
      <c r="L27">
        <v>200000000</v>
      </c>
      <c r="M27">
        <v>24</v>
      </c>
      <c r="N27">
        <v>24</v>
      </c>
      <c r="O27">
        <v>24</v>
      </c>
      <c r="P27">
        <v>0</v>
      </c>
      <c r="Q27" t="s">
        <v>56</v>
      </c>
      <c r="R27">
        <v>1.00001581681397E+16</v>
      </c>
      <c r="S27">
        <v>100002099</v>
      </c>
      <c r="T27">
        <v>1.00001581681397E+16</v>
      </c>
      <c r="U27">
        <v>100002099</v>
      </c>
      <c r="V27" t="s">
        <v>65</v>
      </c>
      <c r="W27">
        <v>7</v>
      </c>
      <c r="X27">
        <v>11011115</v>
      </c>
      <c r="Y27">
        <v>110003117</v>
      </c>
      <c r="Z27">
        <v>121014232</v>
      </c>
      <c r="AA27">
        <v>100002099</v>
      </c>
      <c r="AB27">
        <v>10.9902</v>
      </c>
      <c r="AC27">
        <v>0.909084</v>
      </c>
      <c r="AD27">
        <v>1.82637</v>
      </c>
      <c r="AE27">
        <v>4</v>
      </c>
      <c r="AF27">
        <v>2640939056</v>
      </c>
      <c r="AG27" t="s">
        <v>159</v>
      </c>
      <c r="AH27" t="s">
        <v>160</v>
      </c>
      <c r="AI27">
        <v>7434</v>
      </c>
      <c r="AJ27">
        <v>183438</v>
      </c>
      <c r="AK27">
        <v>109491203672</v>
      </c>
      <c r="AL27">
        <v>718567949523</v>
      </c>
      <c r="AM27">
        <v>300010453</v>
      </c>
      <c r="AN27">
        <v>0</v>
      </c>
      <c r="AO27">
        <v>199989026</v>
      </c>
      <c r="AP27">
        <v>300010453</v>
      </c>
      <c r="AQ27">
        <v>499999479</v>
      </c>
      <c r="AR27">
        <v>10000348</v>
      </c>
      <c r="AS27">
        <v>0</v>
      </c>
      <c r="AT27">
        <v>6666300</v>
      </c>
      <c r="AU27">
        <v>10000348</v>
      </c>
      <c r="AV27">
        <v>16666649</v>
      </c>
      <c r="AW27">
        <v>27.966799999999999</v>
      </c>
      <c r="AX27">
        <v>13.6622</v>
      </c>
      <c r="AY27">
        <v>3885.94</v>
      </c>
      <c r="AZ27">
        <v>2838.67</v>
      </c>
      <c r="BA27">
        <v>12592</v>
      </c>
      <c r="BB27">
        <v>1528</v>
      </c>
      <c r="BC27" t="str">
        <f t="shared" si="8"/>
        <v>u=40%, k=2x10^8</v>
      </c>
      <c r="BD27">
        <f t="shared" si="9"/>
        <v>4</v>
      </c>
      <c r="BE27">
        <f t="shared" si="10"/>
        <v>25460</v>
      </c>
      <c r="BF27">
        <f t="shared" si="11"/>
        <v>29.940331230125</v>
      </c>
      <c r="BG27">
        <f t="shared" si="12"/>
        <v>4.5621334863333329</v>
      </c>
      <c r="BH27">
        <f t="shared" si="5"/>
        <v>1988685</v>
      </c>
      <c r="BI27">
        <f t="shared" si="6"/>
        <v>16866562</v>
      </c>
      <c r="BJ27">
        <f t="shared" si="7"/>
        <v>2766165</v>
      </c>
    </row>
    <row r="28" spans="1:62">
      <c r="A28" t="s">
        <v>161</v>
      </c>
      <c r="B28" t="s">
        <v>57</v>
      </c>
      <c r="C28">
        <v>72</v>
      </c>
      <c r="D28" t="s">
        <v>58</v>
      </c>
      <c r="E28" t="s">
        <v>54</v>
      </c>
      <c r="F28" t="s">
        <v>55</v>
      </c>
      <c r="G28">
        <v>30000</v>
      </c>
      <c r="H28">
        <v>20</v>
      </c>
      <c r="I28">
        <v>20</v>
      </c>
      <c r="J28">
        <v>0</v>
      </c>
      <c r="K28">
        <v>1</v>
      </c>
      <c r="L28">
        <v>200000000</v>
      </c>
      <c r="M28">
        <v>48</v>
      </c>
      <c r="N28">
        <v>48</v>
      </c>
      <c r="O28">
        <v>48</v>
      </c>
      <c r="P28">
        <v>0</v>
      </c>
      <c r="Q28" t="s">
        <v>56</v>
      </c>
      <c r="R28">
        <v>1.00000489110667E+16</v>
      </c>
      <c r="S28">
        <v>100002955</v>
      </c>
      <c r="T28">
        <v>1.00000489110667E+16</v>
      </c>
      <c r="U28">
        <v>100002955</v>
      </c>
      <c r="V28" t="s">
        <v>65</v>
      </c>
      <c r="W28">
        <v>7</v>
      </c>
      <c r="X28">
        <v>14724637</v>
      </c>
      <c r="Y28">
        <v>117742524</v>
      </c>
      <c r="Z28">
        <v>132467161</v>
      </c>
      <c r="AA28">
        <v>100002955</v>
      </c>
      <c r="AB28">
        <v>8.9962900000000001</v>
      </c>
      <c r="AC28">
        <v>0.84933599999999998</v>
      </c>
      <c r="AD28">
        <v>1.7549300000000001</v>
      </c>
      <c r="AE28">
        <v>4.0774499999999998</v>
      </c>
      <c r="AF28">
        <v>3065470160</v>
      </c>
      <c r="AG28" t="s">
        <v>162</v>
      </c>
      <c r="AH28" t="s">
        <v>163</v>
      </c>
      <c r="AI28">
        <v>31923</v>
      </c>
      <c r="AJ28">
        <v>69338</v>
      </c>
      <c r="AK28">
        <v>242288971610</v>
      </c>
      <c r="AL28">
        <v>1436562748651</v>
      </c>
      <c r="AM28">
        <v>487201376</v>
      </c>
      <c r="AN28">
        <v>0</v>
      </c>
      <c r="AO28">
        <v>324821154</v>
      </c>
      <c r="AP28">
        <v>487201376</v>
      </c>
      <c r="AQ28">
        <v>812022530</v>
      </c>
      <c r="AR28">
        <v>16240045</v>
      </c>
      <c r="AS28">
        <v>0</v>
      </c>
      <c r="AT28">
        <v>10827371</v>
      </c>
      <c r="AU28">
        <v>16240045</v>
      </c>
      <c r="AV28">
        <v>27067417</v>
      </c>
      <c r="AW28">
        <v>29.362500000000001</v>
      </c>
      <c r="AX28">
        <v>14.1593</v>
      </c>
      <c r="AY28">
        <v>4727.46</v>
      </c>
      <c r="AZ28">
        <v>3482.18</v>
      </c>
      <c r="BA28">
        <v>13186</v>
      </c>
      <c r="BB28">
        <v>1306</v>
      </c>
      <c r="BC28" t="str">
        <f t="shared" si="8"/>
        <v>u=40%, k=2x10^8</v>
      </c>
      <c r="BD28">
        <f t="shared" si="9"/>
        <v>6</v>
      </c>
      <c r="BE28">
        <f t="shared" si="10"/>
        <v>51614</v>
      </c>
      <c r="BF28">
        <f t="shared" si="11"/>
        <v>29.928390596895834</v>
      </c>
      <c r="BG28">
        <f t="shared" si="12"/>
        <v>5.0476869085416665</v>
      </c>
      <c r="BH28">
        <f t="shared" si="5"/>
        <v>2820589</v>
      </c>
      <c r="BI28">
        <f t="shared" si="6"/>
        <v>26328165</v>
      </c>
      <c r="BJ28">
        <f t="shared" si="7"/>
        <v>4447986</v>
      </c>
    </row>
    <row r="29" spans="1:62">
      <c r="A29" t="s">
        <v>164</v>
      </c>
      <c r="B29" t="s">
        <v>57</v>
      </c>
      <c r="C29">
        <v>72</v>
      </c>
      <c r="D29" t="s">
        <v>58</v>
      </c>
      <c r="E29" t="s">
        <v>54</v>
      </c>
      <c r="F29" t="s">
        <v>55</v>
      </c>
      <c r="G29">
        <v>30000</v>
      </c>
      <c r="H29">
        <v>20</v>
      </c>
      <c r="I29">
        <v>20</v>
      </c>
      <c r="J29">
        <v>0</v>
      </c>
      <c r="K29">
        <v>1</v>
      </c>
      <c r="L29">
        <v>200000000</v>
      </c>
      <c r="M29">
        <v>96</v>
      </c>
      <c r="N29">
        <v>96</v>
      </c>
      <c r="O29">
        <v>96</v>
      </c>
      <c r="P29">
        <v>0</v>
      </c>
      <c r="Q29" t="s">
        <v>56</v>
      </c>
      <c r="R29">
        <v>1.00005340716121E+16</v>
      </c>
      <c r="S29">
        <v>100005589</v>
      </c>
      <c r="T29">
        <v>1.00005340716121E+16</v>
      </c>
      <c r="U29">
        <v>100005589</v>
      </c>
      <c r="V29" t="s">
        <v>65</v>
      </c>
      <c r="W29">
        <v>7</v>
      </c>
      <c r="X29">
        <v>14525500</v>
      </c>
      <c r="Y29">
        <v>117330324</v>
      </c>
      <c r="Z29">
        <v>131855824</v>
      </c>
      <c r="AA29">
        <v>100005589</v>
      </c>
      <c r="AB29">
        <v>9.0775400000000008</v>
      </c>
      <c r="AC29">
        <v>0.85234200000000004</v>
      </c>
      <c r="AD29">
        <v>1.7584500000000001</v>
      </c>
      <c r="AE29">
        <v>4.0708500000000001</v>
      </c>
      <c r="AF29">
        <v>3043197728</v>
      </c>
      <c r="AG29" t="s">
        <v>165</v>
      </c>
      <c r="AH29" t="s">
        <v>166</v>
      </c>
      <c r="AI29">
        <v>154558</v>
      </c>
      <c r="AJ29">
        <v>30340</v>
      </c>
      <c r="AK29">
        <v>521851349893</v>
      </c>
      <c r="AL29">
        <v>2873123230677</v>
      </c>
      <c r="AM29">
        <v>889268932</v>
      </c>
      <c r="AN29">
        <v>0</v>
      </c>
      <c r="AO29">
        <v>592881814</v>
      </c>
      <c r="AP29">
        <v>889268932</v>
      </c>
      <c r="AQ29">
        <v>1482150746</v>
      </c>
      <c r="AR29">
        <v>29642297</v>
      </c>
      <c r="AS29">
        <v>0</v>
      </c>
      <c r="AT29">
        <v>19762727</v>
      </c>
      <c r="AU29">
        <v>29642297</v>
      </c>
      <c r="AV29">
        <v>49405024</v>
      </c>
      <c r="AW29">
        <v>30.491399999999999</v>
      </c>
      <c r="AX29">
        <v>15.9055</v>
      </c>
      <c r="AY29">
        <v>5065.3</v>
      </c>
      <c r="AZ29">
        <v>3706.17</v>
      </c>
      <c r="BA29">
        <v>13758</v>
      </c>
      <c r="BB29">
        <v>1067</v>
      </c>
      <c r="BC29" t="str">
        <f t="shared" si="8"/>
        <v>u=40%, k=2x10^8</v>
      </c>
      <c r="BD29">
        <f t="shared" si="9"/>
        <v>11</v>
      </c>
      <c r="BE29">
        <f t="shared" si="10"/>
        <v>109045</v>
      </c>
      <c r="BF29">
        <f t="shared" si="11"/>
        <v>29.928366986218748</v>
      </c>
      <c r="BG29">
        <f t="shared" si="12"/>
        <v>5.4359515613854166</v>
      </c>
      <c r="BH29">
        <f t="shared" si="5"/>
        <v>4598084</v>
      </c>
      <c r="BI29">
        <f t="shared" si="6"/>
        <v>47592395</v>
      </c>
      <c r="BJ29">
        <f t="shared" si="7"/>
        <v>8004243</v>
      </c>
    </row>
    <row r="30" spans="1:62">
      <c r="A30" t="s">
        <v>167</v>
      </c>
      <c r="B30" t="s">
        <v>57</v>
      </c>
      <c r="C30">
        <v>72</v>
      </c>
      <c r="D30" t="s">
        <v>58</v>
      </c>
      <c r="E30" t="s">
        <v>54</v>
      </c>
      <c r="F30" t="s">
        <v>55</v>
      </c>
      <c r="G30">
        <v>30000</v>
      </c>
      <c r="H30">
        <v>20</v>
      </c>
      <c r="I30">
        <v>20</v>
      </c>
      <c r="J30">
        <v>0</v>
      </c>
      <c r="K30">
        <v>1</v>
      </c>
      <c r="L30">
        <v>200000000</v>
      </c>
      <c r="M30">
        <v>144</v>
      </c>
      <c r="N30">
        <v>144</v>
      </c>
      <c r="O30">
        <v>144</v>
      </c>
      <c r="P30">
        <v>0</v>
      </c>
      <c r="Q30" t="s">
        <v>56</v>
      </c>
      <c r="R30">
        <v>1.00016543298819E+16</v>
      </c>
      <c r="S30">
        <v>100014654</v>
      </c>
      <c r="T30">
        <v>1.00016543298819E+16</v>
      </c>
      <c r="U30">
        <v>100014654</v>
      </c>
      <c r="V30" t="s">
        <v>65</v>
      </c>
      <c r="W30">
        <v>7</v>
      </c>
      <c r="X30">
        <v>14587413</v>
      </c>
      <c r="Y30">
        <v>117329974</v>
      </c>
      <c r="Z30">
        <v>131917387</v>
      </c>
      <c r="AA30">
        <v>100014654</v>
      </c>
      <c r="AB30">
        <v>9.0432299999999994</v>
      </c>
      <c r="AC30">
        <v>0.85242200000000001</v>
      </c>
      <c r="AD30">
        <v>1.7581599999999999</v>
      </c>
      <c r="AE30">
        <v>4.0726300000000002</v>
      </c>
      <c r="AF30">
        <v>3047387664</v>
      </c>
      <c r="AG30" t="s">
        <v>168</v>
      </c>
      <c r="AH30" t="s">
        <v>169</v>
      </c>
      <c r="AI30">
        <v>324988</v>
      </c>
      <c r="AJ30">
        <v>17938</v>
      </c>
      <c r="AK30">
        <v>826977834045</v>
      </c>
      <c r="AL30">
        <v>4309681982375</v>
      </c>
      <c r="AM30">
        <v>1232088759</v>
      </c>
      <c r="AN30">
        <v>0</v>
      </c>
      <c r="AO30">
        <v>821400560</v>
      </c>
      <c r="AP30">
        <v>1232088759</v>
      </c>
      <c r="AQ30">
        <v>2053489319</v>
      </c>
      <c r="AR30">
        <v>41069625</v>
      </c>
      <c r="AS30">
        <v>0</v>
      </c>
      <c r="AT30">
        <v>27380018</v>
      </c>
      <c r="AU30">
        <v>41069625</v>
      </c>
      <c r="AV30">
        <v>68449643</v>
      </c>
      <c r="AW30">
        <v>31.057500000000001</v>
      </c>
      <c r="AX30">
        <v>16.964099999999998</v>
      </c>
      <c r="AY30">
        <v>5358.45</v>
      </c>
      <c r="AZ30">
        <v>3952.74</v>
      </c>
      <c r="BA30">
        <v>14172</v>
      </c>
      <c r="BB30">
        <v>1064</v>
      </c>
      <c r="BC30" t="str">
        <f t="shared" si="8"/>
        <v>u=40%, k=2x10^8</v>
      </c>
      <c r="BD30">
        <f t="shared" si="9"/>
        <v>16</v>
      </c>
      <c r="BE30">
        <f t="shared" si="10"/>
        <v>159951</v>
      </c>
      <c r="BF30">
        <f t="shared" si="11"/>
        <v>29.928347099826389</v>
      </c>
      <c r="BG30">
        <f t="shared" si="12"/>
        <v>5.7429016253125003</v>
      </c>
      <c r="BH30">
        <f t="shared" si="5"/>
        <v>5545869</v>
      </c>
      <c r="BI30">
        <f t="shared" si="6"/>
        <v>63402417</v>
      </c>
      <c r="BJ30">
        <f t="shared" si="7"/>
        <v>10953965</v>
      </c>
    </row>
    <row r="31" spans="1:62">
      <c r="A31" t="s">
        <v>170</v>
      </c>
      <c r="B31" t="s">
        <v>57</v>
      </c>
      <c r="C31">
        <v>72</v>
      </c>
      <c r="D31" t="s">
        <v>58</v>
      </c>
      <c r="E31" t="s">
        <v>54</v>
      </c>
      <c r="F31" t="s">
        <v>55</v>
      </c>
      <c r="G31">
        <v>30000</v>
      </c>
      <c r="H31">
        <v>20</v>
      </c>
      <c r="I31">
        <v>20</v>
      </c>
      <c r="J31">
        <v>0</v>
      </c>
      <c r="K31">
        <v>1</v>
      </c>
      <c r="L31">
        <v>200000000</v>
      </c>
      <c r="M31">
        <v>190</v>
      </c>
      <c r="N31">
        <v>190</v>
      </c>
      <c r="O31">
        <v>190</v>
      </c>
      <c r="P31">
        <v>0</v>
      </c>
      <c r="Q31" t="s">
        <v>56</v>
      </c>
      <c r="R31">
        <v>1.00006427214613E+16</v>
      </c>
      <c r="S31">
        <v>100004649</v>
      </c>
      <c r="T31">
        <v>1.00006427214613E+16</v>
      </c>
      <c r="U31">
        <v>100004649</v>
      </c>
      <c r="V31" t="s">
        <v>65</v>
      </c>
      <c r="W31">
        <v>7</v>
      </c>
      <c r="X31">
        <v>11084385</v>
      </c>
      <c r="Y31">
        <v>110152358</v>
      </c>
      <c r="Z31">
        <v>121236743</v>
      </c>
      <c r="AA31">
        <v>100004649</v>
      </c>
      <c r="AB31">
        <v>10.9376</v>
      </c>
      <c r="AC31">
        <v>0.90787600000000002</v>
      </c>
      <c r="AD31">
        <v>1.82487</v>
      </c>
      <c r="AE31">
        <v>4.0014700000000003</v>
      </c>
      <c r="AF31">
        <v>2649190384</v>
      </c>
      <c r="AG31" t="s">
        <v>171</v>
      </c>
      <c r="AH31" t="s">
        <v>172</v>
      </c>
      <c r="AI31">
        <v>517089</v>
      </c>
      <c r="AJ31">
        <v>12786</v>
      </c>
      <c r="AK31">
        <v>1140147693626</v>
      </c>
      <c r="AL31">
        <v>5693091741835</v>
      </c>
      <c r="AM31">
        <v>1500630346</v>
      </c>
      <c r="AN31">
        <v>0</v>
      </c>
      <c r="AO31">
        <v>1000430592</v>
      </c>
      <c r="AP31">
        <v>1500630346</v>
      </c>
      <c r="AQ31">
        <v>2501060938</v>
      </c>
      <c r="AR31">
        <v>50021011</v>
      </c>
      <c r="AS31">
        <v>0</v>
      </c>
      <c r="AT31">
        <v>33347686</v>
      </c>
      <c r="AU31">
        <v>50021011</v>
      </c>
      <c r="AV31">
        <v>83368697</v>
      </c>
      <c r="AW31">
        <v>31.565300000000001</v>
      </c>
      <c r="AX31">
        <v>17.658300000000001</v>
      </c>
      <c r="AY31">
        <v>5703.42</v>
      </c>
      <c r="AZ31">
        <v>4207.79</v>
      </c>
      <c r="BA31">
        <v>14412</v>
      </c>
      <c r="BB31">
        <v>1143</v>
      </c>
      <c r="BC31" t="str">
        <f t="shared" si="8"/>
        <v>u=40%, k=2x10^8</v>
      </c>
      <c r="BD31">
        <f t="shared" si="9"/>
        <v>20</v>
      </c>
      <c r="BE31">
        <f t="shared" si="10"/>
        <v>199953</v>
      </c>
      <c r="BF31">
        <f t="shared" si="11"/>
        <v>29.963640746500001</v>
      </c>
      <c r="BG31">
        <f t="shared" si="12"/>
        <v>6.0007773348736846</v>
      </c>
      <c r="BH31">
        <f t="shared" si="5"/>
        <v>6883558</v>
      </c>
      <c r="BI31">
        <f t="shared" si="6"/>
        <v>77736277</v>
      </c>
      <c r="BJ31">
        <f t="shared" si="7"/>
        <v>13311033</v>
      </c>
    </row>
    <row r="32" spans="1:62">
      <c r="A32" t="s">
        <v>173</v>
      </c>
      <c r="B32" t="s">
        <v>57</v>
      </c>
      <c r="C32">
        <v>72</v>
      </c>
      <c r="D32" t="s">
        <v>58</v>
      </c>
      <c r="E32" t="s">
        <v>54</v>
      </c>
      <c r="F32" t="s">
        <v>55</v>
      </c>
      <c r="G32">
        <v>30000</v>
      </c>
      <c r="H32">
        <v>0.5</v>
      </c>
      <c r="I32">
        <v>0.5</v>
      </c>
      <c r="J32">
        <v>0</v>
      </c>
      <c r="K32">
        <v>1</v>
      </c>
      <c r="L32">
        <v>2000000</v>
      </c>
      <c r="M32">
        <v>24</v>
      </c>
      <c r="N32">
        <v>24</v>
      </c>
      <c r="O32">
        <v>24</v>
      </c>
      <c r="P32">
        <v>0</v>
      </c>
      <c r="Q32" t="s">
        <v>56</v>
      </c>
      <c r="R32">
        <v>1001477319582</v>
      </c>
      <c r="S32">
        <v>1001637</v>
      </c>
      <c r="T32">
        <v>1001477319582</v>
      </c>
      <c r="U32">
        <v>1001637</v>
      </c>
      <c r="V32" t="s">
        <v>65</v>
      </c>
      <c r="W32">
        <v>6</v>
      </c>
      <c r="X32">
        <v>83688</v>
      </c>
      <c r="Y32">
        <v>1138006</v>
      </c>
      <c r="Z32">
        <v>1221694</v>
      </c>
      <c r="AA32">
        <v>1001637</v>
      </c>
      <c r="AB32">
        <v>14.5982</v>
      </c>
      <c r="AC32">
        <v>0.88016799999999995</v>
      </c>
      <c r="AD32">
        <v>1.8198799999999999</v>
      </c>
      <c r="AE32">
        <v>3.1097800000000002</v>
      </c>
      <c r="AF32">
        <v>24997152</v>
      </c>
      <c r="AG32" t="s">
        <v>174</v>
      </c>
      <c r="AH32" t="s">
        <v>175</v>
      </c>
      <c r="AI32">
        <v>3666</v>
      </c>
      <c r="AJ32">
        <v>881254</v>
      </c>
      <c r="AK32">
        <v>4385817972</v>
      </c>
      <c r="AL32">
        <v>718280249411</v>
      </c>
      <c r="AM32">
        <v>2355636915</v>
      </c>
      <c r="AN32">
        <v>0</v>
      </c>
      <c r="AO32">
        <v>23794270</v>
      </c>
      <c r="AP32">
        <v>2355636915</v>
      </c>
      <c r="AQ32">
        <v>2379431185</v>
      </c>
      <c r="AR32">
        <v>78521230</v>
      </c>
      <c r="AS32">
        <v>0</v>
      </c>
      <c r="AT32">
        <v>793142</v>
      </c>
      <c r="AU32">
        <v>78521230</v>
      </c>
      <c r="AV32">
        <v>79314372</v>
      </c>
      <c r="AW32">
        <v>8.6137700000000006</v>
      </c>
      <c r="AX32">
        <v>0.101909</v>
      </c>
      <c r="AY32">
        <v>843.00300000000004</v>
      </c>
      <c r="AZ32">
        <v>279.858</v>
      </c>
      <c r="BA32">
        <v>1186</v>
      </c>
      <c r="BB32">
        <v>27</v>
      </c>
      <c r="BC32" t="str">
        <f t="shared" si="8"/>
        <v>u=1%, k=2x10^6</v>
      </c>
      <c r="BD32">
        <f t="shared" si="9"/>
        <v>47</v>
      </c>
      <c r="BE32">
        <f t="shared" si="10"/>
        <v>42238</v>
      </c>
      <c r="BF32">
        <f t="shared" si="11"/>
        <v>29.928343725458333</v>
      </c>
      <c r="BG32">
        <f t="shared" si="12"/>
        <v>0.18274241550000001</v>
      </c>
      <c r="BH32">
        <f t="shared" si="5"/>
        <v>610600</v>
      </c>
      <c r="BI32">
        <f t="shared" si="6"/>
        <v>688313</v>
      </c>
      <c r="BJ32">
        <f t="shared" si="7"/>
        <v>0</v>
      </c>
    </row>
    <row r="33" spans="1:62">
      <c r="A33" t="s">
        <v>176</v>
      </c>
      <c r="B33" t="s">
        <v>57</v>
      </c>
      <c r="C33">
        <v>72</v>
      </c>
      <c r="D33" t="s">
        <v>58</v>
      </c>
      <c r="E33" t="s">
        <v>54</v>
      </c>
      <c r="F33" t="s">
        <v>55</v>
      </c>
      <c r="G33">
        <v>30000</v>
      </c>
      <c r="H33">
        <v>0.5</v>
      </c>
      <c r="I33">
        <v>0.5</v>
      </c>
      <c r="J33">
        <v>0</v>
      </c>
      <c r="K33">
        <v>1</v>
      </c>
      <c r="L33">
        <v>2000000</v>
      </c>
      <c r="M33">
        <v>48</v>
      </c>
      <c r="N33">
        <v>48</v>
      </c>
      <c r="O33">
        <v>48</v>
      </c>
      <c r="P33">
        <v>0</v>
      </c>
      <c r="Q33" t="s">
        <v>56</v>
      </c>
      <c r="R33">
        <v>1000040947126</v>
      </c>
      <c r="S33">
        <v>999825</v>
      </c>
      <c r="T33">
        <v>1000040947126</v>
      </c>
      <c r="U33">
        <v>999825</v>
      </c>
      <c r="V33" t="s">
        <v>65</v>
      </c>
      <c r="W33">
        <v>6</v>
      </c>
      <c r="X33">
        <v>80815</v>
      </c>
      <c r="Y33">
        <v>1131780</v>
      </c>
      <c r="Z33">
        <v>1212595</v>
      </c>
      <c r="AA33">
        <v>999825</v>
      </c>
      <c r="AB33">
        <v>15.0046</v>
      </c>
      <c r="AC33">
        <v>0.883409</v>
      </c>
      <c r="AD33">
        <v>1.82453</v>
      </c>
      <c r="AE33">
        <v>3.1044299999999998</v>
      </c>
      <c r="AF33">
        <v>24671552</v>
      </c>
      <c r="AG33" t="s">
        <v>177</v>
      </c>
      <c r="AH33" t="s">
        <v>178</v>
      </c>
      <c r="AI33">
        <v>16719</v>
      </c>
      <c r="AJ33">
        <v>335120</v>
      </c>
      <c r="AK33">
        <v>10764473317</v>
      </c>
      <c r="AL33">
        <v>1436560503589</v>
      </c>
      <c r="AM33">
        <v>3645232293</v>
      </c>
      <c r="AN33">
        <v>0</v>
      </c>
      <c r="AO33">
        <v>36820131</v>
      </c>
      <c r="AP33">
        <v>3645232293</v>
      </c>
      <c r="AQ33">
        <v>3682052424</v>
      </c>
      <c r="AR33">
        <v>121507743</v>
      </c>
      <c r="AS33">
        <v>0</v>
      </c>
      <c r="AT33">
        <v>1227337</v>
      </c>
      <c r="AU33">
        <v>121507743</v>
      </c>
      <c r="AV33">
        <v>122735080</v>
      </c>
      <c r="AW33">
        <v>8.4222599999999996</v>
      </c>
      <c r="AX33">
        <v>0.107781</v>
      </c>
      <c r="AY33">
        <v>1083.04</v>
      </c>
      <c r="AZ33">
        <v>386.53</v>
      </c>
      <c r="BA33">
        <v>1215</v>
      </c>
      <c r="BB33">
        <v>32</v>
      </c>
      <c r="BC33" t="str">
        <f t="shared" si="8"/>
        <v>u=1%, k=2x10^6</v>
      </c>
      <c r="BD33">
        <f t="shared" si="9"/>
        <v>73</v>
      </c>
      <c r="BE33">
        <f t="shared" si="10"/>
        <v>72106</v>
      </c>
      <c r="BF33">
        <f t="shared" si="11"/>
        <v>29.928343824770835</v>
      </c>
      <c r="BG33">
        <f t="shared" si="12"/>
        <v>0.22425986077083335</v>
      </c>
      <c r="BH33">
        <f t="shared" si="5"/>
        <v>688343</v>
      </c>
      <c r="BI33">
        <f t="shared" si="6"/>
        <v>1003201</v>
      </c>
      <c r="BJ33">
        <f t="shared" si="7"/>
        <v>0</v>
      </c>
    </row>
    <row r="34" spans="1:62">
      <c r="A34" t="s">
        <v>179</v>
      </c>
      <c r="B34" t="s">
        <v>57</v>
      </c>
      <c r="C34">
        <v>72</v>
      </c>
      <c r="D34" t="s">
        <v>58</v>
      </c>
      <c r="E34" t="s">
        <v>54</v>
      </c>
      <c r="F34" t="s">
        <v>55</v>
      </c>
      <c r="G34">
        <v>30000</v>
      </c>
      <c r="H34">
        <v>0.5</v>
      </c>
      <c r="I34">
        <v>0.5</v>
      </c>
      <c r="J34">
        <v>0</v>
      </c>
      <c r="K34">
        <v>1</v>
      </c>
      <c r="L34">
        <v>2000000</v>
      </c>
      <c r="M34">
        <v>96</v>
      </c>
      <c r="N34">
        <v>96</v>
      </c>
      <c r="O34">
        <v>96</v>
      </c>
      <c r="P34">
        <v>0</v>
      </c>
      <c r="Q34" t="s">
        <v>56</v>
      </c>
      <c r="R34">
        <v>1000944647472</v>
      </c>
      <c r="S34">
        <v>1000934</v>
      </c>
      <c r="T34">
        <v>1000944647472</v>
      </c>
      <c r="U34">
        <v>1000934</v>
      </c>
      <c r="V34" t="s">
        <v>65</v>
      </c>
      <c r="W34">
        <v>6</v>
      </c>
      <c r="X34">
        <v>50782</v>
      </c>
      <c r="Y34">
        <v>1068632</v>
      </c>
      <c r="Z34">
        <v>1119414</v>
      </c>
      <c r="AA34">
        <v>1000934</v>
      </c>
      <c r="AB34">
        <v>22.043500000000002</v>
      </c>
      <c r="AC34">
        <v>0.93664999999999998</v>
      </c>
      <c r="AD34">
        <v>1.8941600000000001</v>
      </c>
      <c r="AE34">
        <v>3.0364499999999999</v>
      </c>
      <c r="AF34">
        <v>21171200</v>
      </c>
      <c r="AG34" t="s">
        <v>180</v>
      </c>
      <c r="AH34" t="s">
        <v>181</v>
      </c>
      <c r="AI34">
        <v>85959</v>
      </c>
      <c r="AJ34">
        <v>161586</v>
      </c>
      <c r="AK34">
        <v>40704941120</v>
      </c>
      <c r="AL34">
        <v>2873121167337</v>
      </c>
      <c r="AM34">
        <v>6983375806</v>
      </c>
      <c r="AN34">
        <v>0</v>
      </c>
      <c r="AO34">
        <v>70520066</v>
      </c>
      <c r="AP34">
        <v>6983375806</v>
      </c>
      <c r="AQ34">
        <v>7053895872</v>
      </c>
      <c r="AR34">
        <v>232779193</v>
      </c>
      <c r="AS34">
        <v>0</v>
      </c>
      <c r="AT34">
        <v>2350668</v>
      </c>
      <c r="AU34">
        <v>232779193</v>
      </c>
      <c r="AV34">
        <v>235129862</v>
      </c>
      <c r="AW34">
        <v>8.4478100000000005</v>
      </c>
      <c r="AX34">
        <v>0.24585199999999999</v>
      </c>
      <c r="AY34">
        <v>1129.9000000000001</v>
      </c>
      <c r="AZ34">
        <v>413.19299999999998</v>
      </c>
      <c r="BA34">
        <v>1276</v>
      </c>
      <c r="BB34">
        <v>166</v>
      </c>
      <c r="BC34" t="str">
        <f t="shared" si="8"/>
        <v>u=1%, k=2x10^6</v>
      </c>
      <c r="BD34">
        <f t="shared" si="9"/>
        <v>141</v>
      </c>
      <c r="BE34">
        <f t="shared" si="10"/>
        <v>221207</v>
      </c>
      <c r="BF34">
        <f t="shared" si="11"/>
        <v>29.928345493093747</v>
      </c>
      <c r="BG34">
        <f t="shared" si="12"/>
        <v>0.42400980333333332</v>
      </c>
      <c r="BH34">
        <f t="shared" si="5"/>
        <v>382557</v>
      </c>
      <c r="BI34">
        <f t="shared" si="6"/>
        <v>1628117</v>
      </c>
      <c r="BJ34">
        <f t="shared" si="7"/>
        <v>0</v>
      </c>
    </row>
    <row r="35" spans="1:62">
      <c r="A35" t="s">
        <v>182</v>
      </c>
      <c r="B35" t="s">
        <v>57</v>
      </c>
      <c r="C35">
        <v>72</v>
      </c>
      <c r="D35" t="s">
        <v>58</v>
      </c>
      <c r="E35" t="s">
        <v>54</v>
      </c>
      <c r="F35" t="s">
        <v>55</v>
      </c>
      <c r="G35">
        <v>30000</v>
      </c>
      <c r="H35">
        <v>0.5</v>
      </c>
      <c r="I35">
        <v>0.5</v>
      </c>
      <c r="J35">
        <v>0</v>
      </c>
      <c r="K35">
        <v>1</v>
      </c>
      <c r="L35">
        <v>2000000</v>
      </c>
      <c r="M35">
        <v>144</v>
      </c>
      <c r="N35">
        <v>144</v>
      </c>
      <c r="O35">
        <v>144</v>
      </c>
      <c r="P35">
        <v>0</v>
      </c>
      <c r="Q35" t="s">
        <v>56</v>
      </c>
      <c r="R35">
        <v>999632532326</v>
      </c>
      <c r="S35">
        <v>999318</v>
      </c>
      <c r="T35">
        <v>999632532326</v>
      </c>
      <c r="U35">
        <v>999318</v>
      </c>
      <c r="V35" t="s">
        <v>65</v>
      </c>
      <c r="W35">
        <v>6</v>
      </c>
      <c r="X35">
        <v>51272</v>
      </c>
      <c r="Y35">
        <v>1068252</v>
      </c>
      <c r="Z35">
        <v>1119524</v>
      </c>
      <c r="AA35">
        <v>999318</v>
      </c>
      <c r="AB35">
        <v>21.835000000000001</v>
      </c>
      <c r="AC35">
        <v>0.93547000000000002</v>
      </c>
      <c r="AD35">
        <v>1.89263</v>
      </c>
      <c r="AE35">
        <v>3.0379900000000002</v>
      </c>
      <c r="AF35">
        <v>21208992</v>
      </c>
      <c r="AG35" t="s">
        <v>183</v>
      </c>
      <c r="AH35" t="s">
        <v>184</v>
      </c>
      <c r="AI35">
        <v>209628</v>
      </c>
      <c r="AJ35">
        <v>104310</v>
      </c>
      <c r="AK35">
        <v>82995376981</v>
      </c>
      <c r="AL35">
        <v>4309682336944</v>
      </c>
      <c r="AM35">
        <v>10067432173</v>
      </c>
      <c r="AN35">
        <v>0</v>
      </c>
      <c r="AO35">
        <v>101682229</v>
      </c>
      <c r="AP35">
        <v>10067432173</v>
      </c>
      <c r="AQ35">
        <v>10169114402</v>
      </c>
      <c r="AR35">
        <v>335581072</v>
      </c>
      <c r="AS35">
        <v>0</v>
      </c>
      <c r="AT35">
        <v>3389407</v>
      </c>
      <c r="AU35">
        <v>335581072</v>
      </c>
      <c r="AV35">
        <v>338970480</v>
      </c>
      <c r="AW35">
        <v>8.5645500000000006</v>
      </c>
      <c r="AX35">
        <v>0.35661300000000001</v>
      </c>
      <c r="AY35">
        <v>1161.3599999999999</v>
      </c>
      <c r="AZ35">
        <v>430.83</v>
      </c>
      <c r="BA35">
        <v>1347</v>
      </c>
      <c r="BB35">
        <v>269</v>
      </c>
      <c r="BC35" t="str">
        <f t="shared" si="8"/>
        <v>u=1%, k=2x10^6</v>
      </c>
      <c r="BD35">
        <f t="shared" si="9"/>
        <v>203</v>
      </c>
      <c r="BE35">
        <f t="shared" si="10"/>
        <v>592290</v>
      </c>
      <c r="BF35">
        <f t="shared" si="11"/>
        <v>29.928349562111109</v>
      </c>
      <c r="BG35">
        <f t="shared" si="12"/>
        <v>0.57635678459027784</v>
      </c>
      <c r="BH35">
        <f t="shared" si="5"/>
        <v>106709</v>
      </c>
      <c r="BI35">
        <f t="shared" si="6"/>
        <v>1651996</v>
      </c>
      <c r="BJ35">
        <f t="shared" si="7"/>
        <v>0</v>
      </c>
    </row>
    <row r="36" spans="1:62">
      <c r="A36" t="s">
        <v>185</v>
      </c>
      <c r="B36" t="s">
        <v>57</v>
      </c>
      <c r="C36">
        <v>72</v>
      </c>
      <c r="D36" t="s">
        <v>58</v>
      </c>
      <c r="E36" t="s">
        <v>54</v>
      </c>
      <c r="F36" t="s">
        <v>55</v>
      </c>
      <c r="G36">
        <v>30000</v>
      </c>
      <c r="H36">
        <v>0.5</v>
      </c>
      <c r="I36">
        <v>0.5</v>
      </c>
      <c r="J36">
        <v>0</v>
      </c>
      <c r="K36">
        <v>1</v>
      </c>
      <c r="L36">
        <v>2000000</v>
      </c>
      <c r="M36">
        <v>190</v>
      </c>
      <c r="N36">
        <v>190</v>
      </c>
      <c r="O36">
        <v>190</v>
      </c>
      <c r="P36">
        <v>0</v>
      </c>
      <c r="Q36" t="s">
        <v>56</v>
      </c>
      <c r="R36">
        <v>1000577463439</v>
      </c>
      <c r="S36">
        <v>1000167</v>
      </c>
      <c r="T36">
        <v>1000577463439</v>
      </c>
      <c r="U36">
        <v>1000167</v>
      </c>
      <c r="V36" t="s">
        <v>65</v>
      </c>
      <c r="W36">
        <v>6</v>
      </c>
      <c r="X36">
        <v>54556</v>
      </c>
      <c r="Y36">
        <v>1075715</v>
      </c>
      <c r="Z36">
        <v>1130271</v>
      </c>
      <c r="AA36">
        <v>1000167</v>
      </c>
      <c r="AB36">
        <v>20.717600000000001</v>
      </c>
      <c r="AC36">
        <v>0.92976999999999999</v>
      </c>
      <c r="AD36">
        <v>1.88489</v>
      </c>
      <c r="AE36">
        <v>3.0450200000000001</v>
      </c>
      <c r="AF36">
        <v>21596944</v>
      </c>
      <c r="AG36" t="s">
        <v>186</v>
      </c>
      <c r="AH36" t="s">
        <v>187</v>
      </c>
      <c r="AI36">
        <v>316560</v>
      </c>
      <c r="AJ36">
        <v>91244</v>
      </c>
      <c r="AK36">
        <v>118387313946</v>
      </c>
      <c r="AL36">
        <v>5686387027723</v>
      </c>
      <c r="AM36">
        <v>12948445771</v>
      </c>
      <c r="AN36">
        <v>0</v>
      </c>
      <c r="AO36">
        <v>130787092</v>
      </c>
      <c r="AP36">
        <v>12948445771</v>
      </c>
      <c r="AQ36">
        <v>13079232863</v>
      </c>
      <c r="AR36">
        <v>431614859</v>
      </c>
      <c r="AS36">
        <v>0</v>
      </c>
      <c r="AT36">
        <v>4359569</v>
      </c>
      <c r="AU36">
        <v>431614859</v>
      </c>
      <c r="AV36">
        <v>435974428</v>
      </c>
      <c r="AW36">
        <v>8.6744900000000005</v>
      </c>
      <c r="AX36">
        <v>0.41315000000000002</v>
      </c>
      <c r="AY36">
        <v>1192.75</v>
      </c>
      <c r="AZ36">
        <v>456.24200000000002</v>
      </c>
      <c r="BA36">
        <v>1424</v>
      </c>
      <c r="BB36">
        <v>257</v>
      </c>
      <c r="BC36" t="str">
        <f t="shared" si="8"/>
        <v>u=1%, k=2x10^6</v>
      </c>
      <c r="BD36">
        <f t="shared" si="9"/>
        <v>261</v>
      </c>
      <c r="BE36">
        <f t="shared" si="10"/>
        <v>613685</v>
      </c>
      <c r="BF36">
        <f t="shared" si="11"/>
        <v>29.928352777489472</v>
      </c>
      <c r="BG36">
        <f t="shared" si="12"/>
        <v>0.62309112603157901</v>
      </c>
      <c r="BH36">
        <f t="shared" si="5"/>
        <v>298933</v>
      </c>
      <c r="BI36">
        <f t="shared" si="6"/>
        <v>2454412</v>
      </c>
      <c r="BJ36">
        <f t="shared" si="7"/>
        <v>0</v>
      </c>
    </row>
    <row r="37" spans="1:62">
      <c r="A37" t="s">
        <v>188</v>
      </c>
      <c r="B37" t="s">
        <v>57</v>
      </c>
      <c r="C37">
        <v>72</v>
      </c>
      <c r="D37" t="s">
        <v>58</v>
      </c>
      <c r="E37" t="s">
        <v>54</v>
      </c>
      <c r="F37" t="s">
        <v>55</v>
      </c>
      <c r="G37">
        <v>30000</v>
      </c>
      <c r="H37">
        <v>0.5</v>
      </c>
      <c r="I37">
        <v>0.5</v>
      </c>
      <c r="J37">
        <v>0</v>
      </c>
      <c r="K37">
        <v>1</v>
      </c>
      <c r="L37">
        <v>200000000</v>
      </c>
      <c r="M37">
        <v>24</v>
      </c>
      <c r="N37">
        <v>24</v>
      </c>
      <c r="O37">
        <v>24</v>
      </c>
      <c r="P37">
        <v>0</v>
      </c>
      <c r="Q37" t="s">
        <v>56</v>
      </c>
      <c r="R37">
        <v>9999207349622380</v>
      </c>
      <c r="S37">
        <v>99999931</v>
      </c>
      <c r="T37">
        <v>9999207349622380</v>
      </c>
      <c r="U37">
        <v>99999931</v>
      </c>
      <c r="V37" t="s">
        <v>65</v>
      </c>
      <c r="W37">
        <v>7</v>
      </c>
      <c r="X37">
        <v>12919499</v>
      </c>
      <c r="Y37">
        <v>113870935</v>
      </c>
      <c r="Z37">
        <v>126790434</v>
      </c>
      <c r="AA37">
        <v>99999931</v>
      </c>
      <c r="AB37">
        <v>9.8138799999999993</v>
      </c>
      <c r="AC37">
        <v>0.87818700000000005</v>
      </c>
      <c r="AD37">
        <v>1.7887</v>
      </c>
      <c r="AE37">
        <v>4.0390499999999996</v>
      </c>
      <c r="AF37">
        <v>2856450256</v>
      </c>
      <c r="AG37" t="s">
        <v>189</v>
      </c>
      <c r="AH37" t="s">
        <v>189</v>
      </c>
      <c r="AJ37">
        <v>319810</v>
      </c>
      <c r="AK37">
        <v>264682298</v>
      </c>
      <c r="AL37">
        <v>718280274272</v>
      </c>
      <c r="AM37">
        <v>860473445</v>
      </c>
      <c r="AN37">
        <v>0</v>
      </c>
      <c r="AO37">
        <v>8691339</v>
      </c>
      <c r="AP37">
        <v>860473445</v>
      </c>
      <c r="AQ37">
        <v>869164784</v>
      </c>
      <c r="AR37">
        <v>28682448</v>
      </c>
      <c r="AS37">
        <v>0</v>
      </c>
      <c r="AT37">
        <v>289711</v>
      </c>
      <c r="AU37">
        <v>28682448</v>
      </c>
      <c r="AV37">
        <v>28972159</v>
      </c>
      <c r="AW37">
        <v>18.8581</v>
      </c>
      <c r="AX37">
        <v>8.1901899999999994</v>
      </c>
      <c r="AY37">
        <v>2309.61</v>
      </c>
      <c r="AZ37">
        <v>1730.02</v>
      </c>
      <c r="BA37">
        <v>7282</v>
      </c>
      <c r="BB37">
        <v>1550</v>
      </c>
      <c r="BC37" t="str">
        <f t="shared" si="8"/>
        <v>u=1%, k=2x10^8</v>
      </c>
      <c r="BD37">
        <f t="shared" si="9"/>
        <v>0</v>
      </c>
      <c r="BE37">
        <f t="shared" si="10"/>
        <v>0</v>
      </c>
      <c r="BF37">
        <f t="shared" si="11"/>
        <v>29.928344761333335</v>
      </c>
      <c r="BG37">
        <f t="shared" si="12"/>
        <v>1.1028429083333333E-2</v>
      </c>
      <c r="BH37">
        <f t="shared" si="5"/>
        <v>0</v>
      </c>
      <c r="BI37">
        <f t="shared" si="6"/>
        <v>109343</v>
      </c>
      <c r="BJ37">
        <f t="shared" si="7"/>
        <v>68422</v>
      </c>
    </row>
    <row r="38" spans="1:62">
      <c r="A38" t="s">
        <v>190</v>
      </c>
      <c r="B38" t="s">
        <v>57</v>
      </c>
      <c r="C38">
        <v>72</v>
      </c>
      <c r="D38" t="s">
        <v>58</v>
      </c>
      <c r="E38" t="s">
        <v>54</v>
      </c>
      <c r="F38" t="s">
        <v>55</v>
      </c>
      <c r="G38">
        <v>30000</v>
      </c>
      <c r="H38">
        <v>0.5</v>
      </c>
      <c r="I38">
        <v>0.5</v>
      </c>
      <c r="J38">
        <v>0</v>
      </c>
      <c r="K38">
        <v>1</v>
      </c>
      <c r="L38">
        <v>200000000</v>
      </c>
      <c r="M38">
        <v>48</v>
      </c>
      <c r="N38">
        <v>48</v>
      </c>
      <c r="O38">
        <v>48</v>
      </c>
      <c r="P38">
        <v>0</v>
      </c>
      <c r="Q38" t="s">
        <v>56</v>
      </c>
      <c r="R38">
        <v>1.00001486957914E+16</v>
      </c>
      <c r="S38">
        <v>100003523</v>
      </c>
      <c r="T38">
        <v>1.00001486957914E+16</v>
      </c>
      <c r="U38">
        <v>100003523</v>
      </c>
      <c r="V38" t="s">
        <v>65</v>
      </c>
      <c r="W38">
        <v>7</v>
      </c>
      <c r="X38">
        <v>13901236</v>
      </c>
      <c r="Y38">
        <v>115930068</v>
      </c>
      <c r="Z38">
        <v>129831304</v>
      </c>
      <c r="AA38">
        <v>100003523</v>
      </c>
      <c r="AB38">
        <v>9.3395499999999991</v>
      </c>
      <c r="AC38">
        <v>0.86261900000000002</v>
      </c>
      <c r="AD38">
        <v>1.7702599999999999</v>
      </c>
      <c r="AE38">
        <v>4.0597200000000004</v>
      </c>
      <c r="AF38">
        <v>2969088096</v>
      </c>
      <c r="AG38" t="s">
        <v>191</v>
      </c>
      <c r="AH38" t="s">
        <v>191</v>
      </c>
      <c r="AJ38">
        <v>137352</v>
      </c>
      <c r="AK38">
        <v>1239079682</v>
      </c>
      <c r="AL38">
        <v>1436560588460</v>
      </c>
      <c r="AM38">
        <v>1506601760</v>
      </c>
      <c r="AN38">
        <v>0</v>
      </c>
      <c r="AO38">
        <v>15219226</v>
      </c>
      <c r="AP38">
        <v>1506601760</v>
      </c>
      <c r="AQ38">
        <v>1521820986</v>
      </c>
      <c r="AR38">
        <v>50220058</v>
      </c>
      <c r="AS38">
        <v>0</v>
      </c>
      <c r="AT38">
        <v>507307</v>
      </c>
      <c r="AU38">
        <v>50220058</v>
      </c>
      <c r="AV38">
        <v>50727366</v>
      </c>
      <c r="AW38">
        <v>18.900500000000001</v>
      </c>
      <c r="AX38">
        <v>8.2764699999999998</v>
      </c>
      <c r="AY38">
        <v>2635.55</v>
      </c>
      <c r="AZ38">
        <v>1957.25</v>
      </c>
      <c r="BA38">
        <v>7480</v>
      </c>
      <c r="BB38">
        <v>1269</v>
      </c>
      <c r="BC38" t="str">
        <f t="shared" si="8"/>
        <v>u=1%, k=2x10^8</v>
      </c>
      <c r="BD38">
        <f t="shared" si="9"/>
        <v>0</v>
      </c>
      <c r="BE38">
        <f t="shared" si="10"/>
        <v>0</v>
      </c>
      <c r="BF38">
        <f t="shared" si="11"/>
        <v>29.928345592916667</v>
      </c>
      <c r="BG38">
        <f t="shared" si="12"/>
        <v>2.5814160041666669E-2</v>
      </c>
      <c r="BH38">
        <f t="shared" si="5"/>
        <v>1</v>
      </c>
      <c r="BI38">
        <f t="shared" si="6"/>
        <v>453142</v>
      </c>
      <c r="BJ38">
        <f t="shared" si="7"/>
        <v>168362</v>
      </c>
    </row>
    <row r="39" spans="1:62">
      <c r="A39" t="s">
        <v>192</v>
      </c>
      <c r="B39" t="s">
        <v>57</v>
      </c>
      <c r="C39">
        <v>72</v>
      </c>
      <c r="D39" t="s">
        <v>58</v>
      </c>
      <c r="E39" t="s">
        <v>54</v>
      </c>
      <c r="F39" t="s">
        <v>55</v>
      </c>
      <c r="G39">
        <v>30000</v>
      </c>
      <c r="H39">
        <v>0.5</v>
      </c>
      <c r="I39">
        <v>0.5</v>
      </c>
      <c r="J39">
        <v>0</v>
      </c>
      <c r="K39">
        <v>1</v>
      </c>
      <c r="L39">
        <v>200000000</v>
      </c>
      <c r="M39">
        <v>96</v>
      </c>
      <c r="N39">
        <v>96</v>
      </c>
      <c r="O39">
        <v>96</v>
      </c>
      <c r="P39">
        <v>0</v>
      </c>
      <c r="Q39" t="s">
        <v>56</v>
      </c>
      <c r="R39">
        <v>1.0000846283785E+16</v>
      </c>
      <c r="S39">
        <v>100002028</v>
      </c>
      <c r="T39">
        <v>1.0000846283785E+16</v>
      </c>
      <c r="U39">
        <v>100002028</v>
      </c>
      <c r="V39" t="s">
        <v>65</v>
      </c>
      <c r="W39">
        <v>7</v>
      </c>
      <c r="X39">
        <v>14932806</v>
      </c>
      <c r="Y39">
        <v>118226859</v>
      </c>
      <c r="Z39">
        <v>133159665</v>
      </c>
      <c r="AA39">
        <v>100002028</v>
      </c>
      <c r="AB39">
        <v>8.9172600000000006</v>
      </c>
      <c r="AC39">
        <v>0.84584899999999996</v>
      </c>
      <c r="AD39">
        <v>1.75099</v>
      </c>
      <c r="AE39">
        <v>4.0819099999999997</v>
      </c>
      <c r="AF39">
        <v>3090441328</v>
      </c>
      <c r="AG39" t="s">
        <v>193</v>
      </c>
      <c r="AH39" t="s">
        <v>193</v>
      </c>
      <c r="AI39">
        <v>1</v>
      </c>
      <c r="AJ39">
        <v>67894</v>
      </c>
      <c r="AK39">
        <v>5736329351</v>
      </c>
      <c r="AL39">
        <v>2873121619978</v>
      </c>
      <c r="AM39">
        <v>3005759702</v>
      </c>
      <c r="AN39">
        <v>0</v>
      </c>
      <c r="AO39">
        <v>30361514</v>
      </c>
      <c r="AP39">
        <v>3005759702</v>
      </c>
      <c r="AQ39">
        <v>3036121216</v>
      </c>
      <c r="AR39">
        <v>100191990</v>
      </c>
      <c r="AS39">
        <v>0</v>
      </c>
      <c r="AT39">
        <v>1012050</v>
      </c>
      <c r="AU39">
        <v>100191990</v>
      </c>
      <c r="AV39">
        <v>101204040</v>
      </c>
      <c r="AW39">
        <v>19.207999999999998</v>
      </c>
      <c r="AX39">
        <v>9.1628299999999996</v>
      </c>
      <c r="AY39">
        <v>2640.25</v>
      </c>
      <c r="AZ39">
        <v>1912.41</v>
      </c>
      <c r="BA39">
        <v>7906</v>
      </c>
      <c r="BB39">
        <v>1098</v>
      </c>
      <c r="BC39" t="str">
        <f t="shared" si="8"/>
        <v>u=1%, k=2x10^8</v>
      </c>
      <c r="BD39">
        <f t="shared" si="9"/>
        <v>0</v>
      </c>
      <c r="BE39">
        <f t="shared" si="10"/>
        <v>0</v>
      </c>
      <c r="BF39">
        <f t="shared" si="11"/>
        <v>29.928350208104167</v>
      </c>
      <c r="BG39">
        <f t="shared" si="12"/>
        <v>5.9753430739583335E-2</v>
      </c>
      <c r="BH39">
        <f t="shared" si="5"/>
        <v>15984</v>
      </c>
      <c r="BI39">
        <f t="shared" si="6"/>
        <v>2058323</v>
      </c>
      <c r="BJ39">
        <f t="shared" si="7"/>
        <v>425988</v>
      </c>
    </row>
    <row r="40" spans="1:62">
      <c r="A40" t="s">
        <v>194</v>
      </c>
      <c r="B40" t="s">
        <v>57</v>
      </c>
      <c r="C40">
        <v>72</v>
      </c>
      <c r="D40" t="s">
        <v>58</v>
      </c>
      <c r="E40" t="s">
        <v>54</v>
      </c>
      <c r="F40" t="s">
        <v>55</v>
      </c>
      <c r="G40">
        <v>30000</v>
      </c>
      <c r="H40">
        <v>0.5</v>
      </c>
      <c r="I40">
        <v>0.5</v>
      </c>
      <c r="J40">
        <v>0</v>
      </c>
      <c r="K40">
        <v>1</v>
      </c>
      <c r="L40">
        <v>200000000</v>
      </c>
      <c r="M40">
        <v>144</v>
      </c>
      <c r="N40">
        <v>144</v>
      </c>
      <c r="O40">
        <v>144</v>
      </c>
      <c r="P40">
        <v>0</v>
      </c>
      <c r="Q40" t="s">
        <v>56</v>
      </c>
      <c r="R40">
        <v>1.00009743096457E+16</v>
      </c>
      <c r="S40">
        <v>100006999</v>
      </c>
      <c r="T40">
        <v>1.00009743096457E+16</v>
      </c>
      <c r="U40">
        <v>100006999</v>
      </c>
      <c r="V40" t="s">
        <v>65</v>
      </c>
      <c r="W40">
        <v>7</v>
      </c>
      <c r="X40">
        <v>13666195</v>
      </c>
      <c r="Y40">
        <v>115492801</v>
      </c>
      <c r="Z40">
        <v>129158996</v>
      </c>
      <c r="AA40">
        <v>100006999</v>
      </c>
      <c r="AB40">
        <v>9.4509799999999995</v>
      </c>
      <c r="AC40">
        <v>0.86591499999999999</v>
      </c>
      <c r="AD40">
        <v>1.7742899999999999</v>
      </c>
      <c r="AE40">
        <v>4.05274</v>
      </c>
      <c r="AF40">
        <v>2943994576</v>
      </c>
      <c r="AG40" t="s">
        <v>195</v>
      </c>
      <c r="AH40" t="s">
        <v>195</v>
      </c>
      <c r="AI40">
        <v>521</v>
      </c>
      <c r="AJ40">
        <v>43472</v>
      </c>
      <c r="AK40">
        <v>19778341790</v>
      </c>
      <c r="AL40">
        <v>4309985426011</v>
      </c>
      <c r="AM40">
        <v>4413863901</v>
      </c>
      <c r="AN40">
        <v>0</v>
      </c>
      <c r="AO40">
        <v>44585352</v>
      </c>
      <c r="AP40">
        <v>4413863901</v>
      </c>
      <c r="AQ40">
        <v>4458449253</v>
      </c>
      <c r="AR40">
        <v>147128796</v>
      </c>
      <c r="AS40">
        <v>0</v>
      </c>
      <c r="AT40">
        <v>1486178</v>
      </c>
      <c r="AU40">
        <v>147128796</v>
      </c>
      <c r="AV40">
        <v>148614975</v>
      </c>
      <c r="AW40">
        <v>19.338200000000001</v>
      </c>
      <c r="AX40">
        <v>9.4649699999999992</v>
      </c>
      <c r="AY40">
        <v>2689.44</v>
      </c>
      <c r="AZ40">
        <v>1944.87</v>
      </c>
      <c r="BA40">
        <v>8915</v>
      </c>
      <c r="BB40">
        <v>1112</v>
      </c>
      <c r="BC40" t="str">
        <f t="shared" si="8"/>
        <v>u=1%, k=2x10^8</v>
      </c>
      <c r="BD40">
        <f t="shared" si="9"/>
        <v>0</v>
      </c>
      <c r="BE40">
        <f t="shared" si="10"/>
        <v>2503</v>
      </c>
      <c r="BF40">
        <f t="shared" si="11"/>
        <v>29.930454347298607</v>
      </c>
      <c r="BG40">
        <f t="shared" si="12"/>
        <v>0.13734959576388889</v>
      </c>
      <c r="BH40">
        <f t="shared" si="5"/>
        <v>308420</v>
      </c>
      <c r="BI40">
        <f t="shared" si="6"/>
        <v>3765202</v>
      </c>
      <c r="BJ40">
        <f t="shared" si="7"/>
        <v>628857</v>
      </c>
    </row>
    <row r="41" spans="1:62">
      <c r="A41" t="s">
        <v>196</v>
      </c>
      <c r="B41" t="s">
        <v>57</v>
      </c>
      <c r="C41">
        <v>72</v>
      </c>
      <c r="D41" t="s">
        <v>58</v>
      </c>
      <c r="E41" t="s">
        <v>54</v>
      </c>
      <c r="F41" t="s">
        <v>55</v>
      </c>
      <c r="G41">
        <v>30000</v>
      </c>
      <c r="H41">
        <v>0.5</v>
      </c>
      <c r="I41">
        <v>0.5</v>
      </c>
      <c r="J41">
        <v>0</v>
      </c>
      <c r="K41">
        <v>1</v>
      </c>
      <c r="L41">
        <v>200000000</v>
      </c>
      <c r="M41">
        <v>190</v>
      </c>
      <c r="N41">
        <v>190</v>
      </c>
      <c r="O41">
        <v>190</v>
      </c>
      <c r="P41">
        <v>0</v>
      </c>
      <c r="Q41" t="s">
        <v>56</v>
      </c>
      <c r="R41">
        <v>9999957715497090</v>
      </c>
      <c r="S41">
        <v>99995368</v>
      </c>
      <c r="T41">
        <v>9999957715497090</v>
      </c>
      <c r="U41">
        <v>99995368</v>
      </c>
      <c r="V41" t="s">
        <v>65</v>
      </c>
      <c r="W41">
        <v>7</v>
      </c>
      <c r="X41">
        <v>12641702</v>
      </c>
      <c r="Y41">
        <v>113296948</v>
      </c>
      <c r="Z41">
        <v>125938650</v>
      </c>
      <c r="AA41">
        <v>99995368</v>
      </c>
      <c r="AB41">
        <v>9.9621600000000008</v>
      </c>
      <c r="AC41">
        <v>0.88259500000000002</v>
      </c>
      <c r="AD41">
        <v>1.794</v>
      </c>
      <c r="AE41">
        <v>4.03329</v>
      </c>
      <c r="AF41">
        <v>2824800256</v>
      </c>
      <c r="AG41" t="s">
        <v>197</v>
      </c>
      <c r="AH41" t="s">
        <v>198</v>
      </c>
      <c r="AI41">
        <v>4192</v>
      </c>
      <c r="AJ41">
        <v>32812</v>
      </c>
      <c r="AK41">
        <v>113829531825</v>
      </c>
      <c r="AL41">
        <v>5686388141137</v>
      </c>
      <c r="AM41">
        <v>5664588555</v>
      </c>
      <c r="AN41">
        <v>0</v>
      </c>
      <c r="AO41">
        <v>57227967</v>
      </c>
      <c r="AP41">
        <v>5664588555</v>
      </c>
      <c r="AQ41">
        <v>5721816522</v>
      </c>
      <c r="AR41">
        <v>188819618</v>
      </c>
      <c r="AS41">
        <v>0</v>
      </c>
      <c r="AT41">
        <v>1907598</v>
      </c>
      <c r="AU41">
        <v>188819618</v>
      </c>
      <c r="AV41">
        <v>190727217</v>
      </c>
      <c r="AW41">
        <v>19.435400000000001</v>
      </c>
      <c r="AX41">
        <v>9.5752199999999998</v>
      </c>
      <c r="AY41">
        <v>2718.48</v>
      </c>
      <c r="AZ41">
        <v>1969.77</v>
      </c>
      <c r="BA41">
        <v>13380</v>
      </c>
      <c r="BB41">
        <v>1145</v>
      </c>
      <c r="BC41" t="str">
        <f t="shared" si="8"/>
        <v>u=1%, k=2x10^8</v>
      </c>
      <c r="BD41">
        <f t="shared" si="9"/>
        <v>1</v>
      </c>
      <c r="BE41">
        <f t="shared" si="10"/>
        <v>9998</v>
      </c>
      <c r="BF41">
        <f t="shared" si="11"/>
        <v>29.928358637563161</v>
      </c>
      <c r="BG41">
        <f t="shared" si="12"/>
        <v>0.59910279907894737</v>
      </c>
      <c r="BH41">
        <f t="shared" si="5"/>
        <v>344910</v>
      </c>
      <c r="BI41">
        <f t="shared" si="6"/>
        <v>3955497</v>
      </c>
      <c r="BJ41">
        <f t="shared" si="7"/>
        <v>716659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49"/>
  <sheetViews>
    <sheetView zoomScale="80" zoomScaleNormal="80" workbookViewId="0">
      <selection activeCell="C2" sqref="C2"/>
    </sheetView>
  </sheetViews>
  <sheetFormatPr defaultRowHeight="14.6"/>
  <cols>
    <col min="1" max="1" width="7.53515625" customWidth="1"/>
    <col min="2" max="2" width="15.23046875" customWidth="1"/>
    <col min="3" max="3" width="10.84375" customWidth="1"/>
    <col min="4" max="4" width="11.4609375" customWidth="1"/>
    <col min="5" max="6" width="11.15234375" customWidth="1"/>
    <col min="7" max="7" width="4.3046875" customWidth="1"/>
    <col min="8" max="9" width="0" hidden="1" customWidth="1"/>
    <col min="10" max="10" width="8.69140625" hidden="1" customWidth="1"/>
    <col min="11" max="11" width="15.23046875" hidden="1" customWidth="1"/>
    <col min="12" max="12" width="11.69140625" hidden="1" customWidth="1"/>
    <col min="13" max="24" width="0.4609375" hidden="1" customWidth="1"/>
    <col min="25" max="25" width="2.69140625" customWidth="1"/>
    <col min="26" max="26" width="16.15234375" customWidth="1"/>
    <col min="27" max="27" width="4.84375" customWidth="1"/>
    <col min="28" max="28" width="3" customWidth="1"/>
  </cols>
  <sheetData>
    <row r="1" spans="1:27">
      <c r="Z1" s="1" t="s">
        <v>8</v>
      </c>
    </row>
    <row r="2" spans="1:27">
      <c r="A2" s="8" t="s">
        <v>59</v>
      </c>
      <c r="B2" t="s">
        <v>207</v>
      </c>
      <c r="C2" t="str">
        <f>B2&amp;", f=# full rebuilds"</f>
        <v>u=40%, k=2x10^6, f=# full rebuilds</v>
      </c>
      <c r="Z2" s="2" t="s">
        <v>0</v>
      </c>
      <c r="AA2" t="s">
        <v>60</v>
      </c>
    </row>
    <row r="3" spans="1:27">
      <c r="Z3" s="2"/>
    </row>
    <row r="4" spans="1:27">
      <c r="A4" s="8" t="s">
        <v>13</v>
      </c>
      <c r="B4" t="s">
        <v>87</v>
      </c>
      <c r="Z4" s="2"/>
    </row>
    <row r="5" spans="1:27">
      <c r="A5" s="6">
        <v>24</v>
      </c>
      <c r="B5" s="7">
        <v>29.928306599999999</v>
      </c>
      <c r="Z5" s="2"/>
    </row>
    <row r="6" spans="1:27">
      <c r="A6" s="6">
        <v>48</v>
      </c>
      <c r="B6" s="7">
        <v>29.928314146562499</v>
      </c>
      <c r="N6" s="2"/>
    </row>
    <row r="7" spans="1:27">
      <c r="A7" s="6">
        <v>96</v>
      </c>
      <c r="B7" s="7">
        <v>29.92831450911979</v>
      </c>
    </row>
    <row r="8" spans="1:27">
      <c r="A8" s="6">
        <v>144</v>
      </c>
      <c r="B8" s="7">
        <v>29.928330691506943</v>
      </c>
      <c r="N8" s="2"/>
    </row>
    <row r="9" spans="1:27">
      <c r="A9" s="6">
        <v>190</v>
      </c>
      <c r="B9" s="7">
        <v>29.929283701968423</v>
      </c>
    </row>
    <row r="13" spans="1:27">
      <c r="O13" s="3"/>
    </row>
    <row r="14" spans="1:27">
      <c r="Z14" s="2"/>
    </row>
    <row r="20" spans="1:6">
      <c r="A20" t="str">
        <f>A4</f>
        <v>Row Labels</v>
      </c>
      <c r="B20" t="s">
        <v>76</v>
      </c>
      <c r="C20" t="s">
        <v>89</v>
      </c>
      <c r="D20">
        <f t="shared" ref="D20:F25" si="0">D5</f>
        <v>0</v>
      </c>
      <c r="E20">
        <f t="shared" si="0"/>
        <v>0</v>
      </c>
      <c r="F20">
        <f t="shared" si="0"/>
        <v>0</v>
      </c>
    </row>
    <row r="21" spans="1:6">
      <c r="A21">
        <f>A5</f>
        <v>24</v>
      </c>
      <c r="B21" s="7">
        <f>B5-B45</f>
        <v>26.185312792874999</v>
      </c>
      <c r="C21">
        <f t="shared" ref="C21:C25" si="1">B45</f>
        <v>3.742993807125</v>
      </c>
      <c r="D21" s="7">
        <f t="shared" si="0"/>
        <v>0</v>
      </c>
      <c r="E21" s="7">
        <f t="shared" si="0"/>
        <v>0</v>
      </c>
      <c r="F21" s="7">
        <f t="shared" si="0"/>
        <v>0</v>
      </c>
    </row>
    <row r="22" spans="1:6">
      <c r="A22">
        <f t="shared" ref="A22:A25" si="2">A6</f>
        <v>48</v>
      </c>
      <c r="B22" s="7">
        <f t="shared" ref="B22:B25" si="3">B6-B46</f>
        <v>25.261367342510418</v>
      </c>
      <c r="C22">
        <f t="shared" si="1"/>
        <v>4.666946804052083</v>
      </c>
      <c r="D22" s="7">
        <f t="shared" si="0"/>
        <v>0</v>
      </c>
      <c r="E22" s="7">
        <f t="shared" si="0"/>
        <v>0</v>
      </c>
      <c r="F22" s="7">
        <f t="shared" si="0"/>
        <v>0</v>
      </c>
    </row>
    <row r="23" spans="1:6">
      <c r="A23">
        <f t="shared" si="2"/>
        <v>96</v>
      </c>
      <c r="B23" s="7">
        <f t="shared" si="3"/>
        <v>23.002634674046874</v>
      </c>
      <c r="C23">
        <f t="shared" si="1"/>
        <v>6.9256798350729163</v>
      </c>
      <c r="D23" s="7">
        <f t="shared" si="0"/>
        <v>0</v>
      </c>
      <c r="E23" s="7">
        <f t="shared" si="0"/>
        <v>0</v>
      </c>
      <c r="F23" s="7">
        <f t="shared" si="0"/>
        <v>0</v>
      </c>
    </row>
    <row r="24" spans="1:6">
      <c r="A24">
        <f t="shared" si="2"/>
        <v>144</v>
      </c>
      <c r="B24" s="7">
        <f t="shared" si="3"/>
        <v>20.749477287454859</v>
      </c>
      <c r="C24">
        <f t="shared" si="1"/>
        <v>9.1788534040520844</v>
      </c>
      <c r="D24" s="7">
        <f t="shared" si="0"/>
        <v>0</v>
      </c>
      <c r="E24" s="7">
        <f t="shared" si="0"/>
        <v>0</v>
      </c>
      <c r="F24" s="7">
        <f t="shared" si="0"/>
        <v>0</v>
      </c>
    </row>
    <row r="25" spans="1:6">
      <c r="A25">
        <f t="shared" si="2"/>
        <v>190</v>
      </c>
      <c r="B25" s="7">
        <f t="shared" si="3"/>
        <v>20.544819726302634</v>
      </c>
      <c r="C25">
        <f t="shared" si="1"/>
        <v>9.3844639756657884</v>
      </c>
      <c r="D25" s="7">
        <f t="shared" si="0"/>
        <v>0</v>
      </c>
      <c r="E25" s="7">
        <f t="shared" si="0"/>
        <v>0</v>
      </c>
      <c r="F25" s="7">
        <f t="shared" si="0"/>
        <v>0</v>
      </c>
    </row>
    <row r="26" spans="1:6">
      <c r="C26" s="10" t="s">
        <v>90</v>
      </c>
    </row>
    <row r="27" spans="1:6">
      <c r="C27" s="9">
        <f>C25/B9</f>
        <v>0.31355457982606449</v>
      </c>
    </row>
    <row r="42" spans="1:7">
      <c r="A42" s="8" t="s">
        <v>59</v>
      </c>
      <c r="B42" t="s">
        <v>207</v>
      </c>
      <c r="E42" s="8" t="s">
        <v>59</v>
      </c>
      <c r="F42" t="s">
        <v>207</v>
      </c>
    </row>
    <row r="44" spans="1:7">
      <c r="A44" s="8" t="s">
        <v>13</v>
      </c>
      <c r="B44" t="s">
        <v>88</v>
      </c>
      <c r="E44" s="8" t="s">
        <v>13</v>
      </c>
      <c r="F44" t="s">
        <v>84</v>
      </c>
    </row>
    <row r="45" spans="1:7">
      <c r="A45" s="6">
        <v>24</v>
      </c>
      <c r="B45" s="7">
        <v>3.742993807125</v>
      </c>
      <c r="E45" s="6">
        <v>24</v>
      </c>
      <c r="F45" s="7">
        <v>1046</v>
      </c>
      <c r="G45" t="str">
        <f t="shared" ref="G45:G48" si="4">"f="&amp;INT(F45)</f>
        <v>f=1046</v>
      </c>
    </row>
    <row r="46" spans="1:7">
      <c r="A46" s="6">
        <v>48</v>
      </c>
      <c r="B46" s="7">
        <v>4.666946804052083</v>
      </c>
      <c r="E46" s="6">
        <v>48</v>
      </c>
      <c r="F46" s="7">
        <v>1491.5</v>
      </c>
      <c r="G46" t="str">
        <f t="shared" si="4"/>
        <v>f=1491</v>
      </c>
    </row>
    <row r="47" spans="1:7">
      <c r="A47" s="6">
        <v>96</v>
      </c>
      <c r="B47" s="7">
        <v>6.9256798350729163</v>
      </c>
      <c r="E47" s="6">
        <v>96</v>
      </c>
      <c r="F47" s="7">
        <v>1831</v>
      </c>
      <c r="G47" t="str">
        <f t="shared" si="4"/>
        <v>f=1831</v>
      </c>
    </row>
    <row r="48" spans="1:7">
      <c r="A48" s="6">
        <v>144</v>
      </c>
      <c r="B48" s="7">
        <v>9.1788534040520844</v>
      </c>
      <c r="E48" s="6">
        <v>144</v>
      </c>
      <c r="F48" s="7">
        <v>2025</v>
      </c>
      <c r="G48" t="str">
        <f t="shared" si="4"/>
        <v>f=2025</v>
      </c>
    </row>
    <row r="49" spans="1:7">
      <c r="A49" s="6">
        <v>190</v>
      </c>
      <c r="B49" s="7">
        <v>9.3844639756657884</v>
      </c>
      <c r="E49" s="6">
        <v>190</v>
      </c>
      <c r="F49" s="7">
        <v>2324.5</v>
      </c>
      <c r="G49" t="str">
        <f>"f="&amp;INT(F49)</f>
        <v>f=2324</v>
      </c>
    </row>
  </sheetData>
  <pageMargins left="0.7" right="0.7" top="0.75" bottom="0.75" header="0.3" footer="0.3"/>
  <pageSetup paperSize="0" orientation="portrait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3"/>
  <sheetViews>
    <sheetView tabSelected="1" zoomScaleNormal="100" workbookViewId="0"/>
  </sheetViews>
  <sheetFormatPr defaultRowHeight="14.6"/>
  <cols>
    <col min="1" max="1" width="0.53515625" customWidth="1"/>
    <col min="2" max="2" width="15.15234375" bestFit="1" customWidth="1"/>
    <col min="3" max="7" width="11.4609375" customWidth="1"/>
    <col min="8" max="8" width="0.53515625" customWidth="1"/>
  </cols>
  <sheetData>
    <row r="1" spans="2:7">
      <c r="B1" s="8" t="s">
        <v>13</v>
      </c>
      <c r="C1" t="s">
        <v>84</v>
      </c>
      <c r="D1" t="s">
        <v>208</v>
      </c>
      <c r="E1" t="s">
        <v>209</v>
      </c>
      <c r="F1" t="s">
        <v>210</v>
      </c>
      <c r="G1" t="s">
        <v>211</v>
      </c>
    </row>
    <row r="2" spans="2:7">
      <c r="B2" s="6" t="s">
        <v>206</v>
      </c>
      <c r="C2" s="12">
        <v>144.80000000000001</v>
      </c>
      <c r="D2" s="12">
        <v>308202.2</v>
      </c>
      <c r="E2" s="12">
        <v>417455.4</v>
      </c>
      <c r="F2" s="12">
        <v>1483641.4</v>
      </c>
      <c r="G2" s="12">
        <v>0</v>
      </c>
    </row>
    <row r="3" spans="2:7">
      <c r="B3" s="6" t="s">
        <v>199</v>
      </c>
      <c r="C3" s="12">
        <v>0.2</v>
      </c>
      <c r="D3" s="12">
        <v>2490.1</v>
      </c>
      <c r="E3" s="12">
        <v>133696.4</v>
      </c>
      <c r="F3" s="12">
        <v>2067817.6</v>
      </c>
      <c r="G3" s="12">
        <v>401594</v>
      </c>
    </row>
    <row r="4" spans="2:7">
      <c r="B4" s="6" t="s">
        <v>207</v>
      </c>
      <c r="C4" s="12">
        <v>1743.6</v>
      </c>
      <c r="D4" s="12">
        <v>3304620.5</v>
      </c>
      <c r="E4" s="12">
        <v>7231335.9000000004</v>
      </c>
      <c r="F4" s="12">
        <v>18963756.699999999</v>
      </c>
      <c r="G4" s="12">
        <v>0</v>
      </c>
    </row>
    <row r="5" spans="2:7">
      <c r="B5" s="6" t="s">
        <v>202</v>
      </c>
      <c r="C5" s="12">
        <v>11.4</v>
      </c>
      <c r="D5" s="12">
        <v>109200</v>
      </c>
      <c r="E5" s="12">
        <v>4371388.9000000004</v>
      </c>
      <c r="F5" s="12">
        <v>46342276.200000003</v>
      </c>
      <c r="G5" s="12">
        <v>7887598.7999999998</v>
      </c>
    </row>
    <row r="9" spans="2:7" hidden="1"/>
    <row r="10" spans="2:7" hidden="1"/>
    <row r="11" spans="2:7" hidden="1"/>
    <row r="12" spans="2:7" hidden="1"/>
    <row r="13" spans="2:7" hidden="1"/>
    <row r="14" spans="2:7" hidden="1"/>
    <row r="15" spans="2:7" hidden="1"/>
    <row r="16" spans="2:7" hidden="1"/>
    <row r="17" spans="1:8" hidden="1"/>
    <row r="18" spans="1:8" hidden="1"/>
    <row r="19" spans="1:8" ht="2.6" customHeight="1" thickBot="1">
      <c r="A19" s="15"/>
      <c r="B19" s="15"/>
      <c r="C19" s="15"/>
      <c r="D19" s="15"/>
      <c r="E19" s="15"/>
      <c r="F19" s="15"/>
      <c r="G19" s="15"/>
      <c r="H19" s="15"/>
    </row>
    <row r="20" spans="1:8" ht="15" thickBot="1">
      <c r="A20" s="15"/>
      <c r="B20" s="24"/>
      <c r="C20" s="21" t="s">
        <v>218</v>
      </c>
      <c r="D20" s="22"/>
      <c r="E20" s="22"/>
      <c r="F20" s="22"/>
      <c r="G20" s="23"/>
      <c r="H20" s="15"/>
    </row>
    <row r="21" spans="1:8" ht="15" thickBot="1">
      <c r="A21" s="15"/>
      <c r="B21" s="19" t="s">
        <v>212</v>
      </c>
      <c r="C21" s="20" t="s">
        <v>213</v>
      </c>
      <c r="D21" s="20" t="s">
        <v>214</v>
      </c>
      <c r="E21" s="20" t="s">
        <v>215</v>
      </c>
      <c r="F21" s="20" t="s">
        <v>216</v>
      </c>
      <c r="G21" s="25" t="s">
        <v>217</v>
      </c>
      <c r="H21" s="15"/>
    </row>
    <row r="22" spans="1:8">
      <c r="A22" s="15"/>
      <c r="B22" s="26" t="str">
        <f>B2</f>
        <v>u=1%, k=2x10^6</v>
      </c>
      <c r="C22" s="18">
        <f t="shared" ref="C22:G22" si="0">INT(C2)</f>
        <v>144</v>
      </c>
      <c r="D22" s="17">
        <f t="shared" si="0"/>
        <v>308202</v>
      </c>
      <c r="E22" s="17">
        <f t="shared" si="0"/>
        <v>417455</v>
      </c>
      <c r="F22" s="17">
        <f t="shared" si="0"/>
        <v>1483641</v>
      </c>
      <c r="G22" s="27">
        <f t="shared" si="0"/>
        <v>0</v>
      </c>
      <c r="H22" s="15"/>
    </row>
    <row r="23" spans="1:8">
      <c r="A23" s="15"/>
      <c r="B23" s="26" t="str">
        <f t="shared" ref="B23:B25" si="1">B3</f>
        <v>u=1%, k=2x10^8</v>
      </c>
      <c r="C23" s="18">
        <f>INT(C3)</f>
        <v>0</v>
      </c>
      <c r="D23" s="14">
        <f t="shared" ref="D23:G23" si="2">INT(D3)</f>
        <v>2490</v>
      </c>
      <c r="E23" s="14">
        <f t="shared" si="2"/>
        <v>133696</v>
      </c>
      <c r="F23" s="14">
        <f t="shared" si="2"/>
        <v>2067817</v>
      </c>
      <c r="G23" s="28">
        <f t="shared" si="2"/>
        <v>401594</v>
      </c>
      <c r="H23" s="15"/>
    </row>
    <row r="24" spans="1:8">
      <c r="A24" s="15"/>
      <c r="B24" s="26" t="str">
        <f t="shared" si="1"/>
        <v>u=40%, k=2x10^6</v>
      </c>
      <c r="C24" s="18">
        <f t="shared" ref="C24:G24" si="3">INT(C4)</f>
        <v>1743</v>
      </c>
      <c r="D24" s="14">
        <f t="shared" si="3"/>
        <v>3304620</v>
      </c>
      <c r="E24" s="14">
        <f t="shared" si="3"/>
        <v>7231335</v>
      </c>
      <c r="F24" s="14">
        <f t="shared" si="3"/>
        <v>18963756</v>
      </c>
      <c r="G24" s="28">
        <f t="shared" si="3"/>
        <v>0</v>
      </c>
      <c r="H24" s="15"/>
    </row>
    <row r="25" spans="1:8" ht="15" thickBot="1">
      <c r="A25" s="15"/>
      <c r="B25" s="29" t="str">
        <f t="shared" si="1"/>
        <v>u=40%, k=2x10^8</v>
      </c>
      <c r="C25" s="30">
        <f t="shared" ref="C25:G25" si="4">INT(C5)</f>
        <v>11</v>
      </c>
      <c r="D25" s="31">
        <f t="shared" si="4"/>
        <v>109200</v>
      </c>
      <c r="E25" s="31">
        <f t="shared" si="4"/>
        <v>4371388</v>
      </c>
      <c r="F25" s="31">
        <f t="shared" si="4"/>
        <v>46342276</v>
      </c>
      <c r="G25" s="32">
        <f t="shared" si="4"/>
        <v>7887598</v>
      </c>
      <c r="H25" s="15"/>
    </row>
    <row r="26" spans="1:8" ht="2.6" customHeight="1">
      <c r="A26" s="15"/>
      <c r="B26" s="15"/>
      <c r="C26" s="16"/>
      <c r="D26" s="16"/>
      <c r="E26" s="16"/>
      <c r="F26" s="16"/>
      <c r="G26" s="16"/>
      <c r="H26" s="15"/>
    </row>
    <row r="27" spans="1:8">
      <c r="C27" s="13"/>
      <c r="D27" s="13"/>
      <c r="E27" s="13"/>
      <c r="F27" s="13"/>
      <c r="G27" s="13"/>
    </row>
    <row r="28" spans="1:8">
      <c r="C28" s="13"/>
      <c r="D28" s="13"/>
      <c r="E28" s="13"/>
      <c r="F28" s="13"/>
      <c r="G28" s="13"/>
    </row>
    <row r="29" spans="1:8">
      <c r="C29" s="13"/>
      <c r="D29" s="13"/>
      <c r="E29" s="13"/>
      <c r="F29" s="13"/>
      <c r="G29" s="13"/>
    </row>
    <row r="30" spans="1:8">
      <c r="C30" s="13"/>
      <c r="D30" s="13"/>
      <c r="E30" s="13"/>
      <c r="F30" s="13"/>
      <c r="G30" s="13"/>
    </row>
    <row r="31" spans="1:8">
      <c r="C31" s="13"/>
      <c r="D31" s="13"/>
      <c r="E31" s="13"/>
      <c r="F31" s="13"/>
      <c r="G31" s="13"/>
    </row>
    <row r="32" spans="1:8">
      <c r="C32" s="13"/>
      <c r="D32" s="13"/>
      <c r="E32" s="13"/>
      <c r="F32" s="13"/>
      <c r="G32" s="13"/>
    </row>
    <row r="33" spans="3:7">
      <c r="C33" s="13"/>
      <c r="D33" s="13"/>
      <c r="E33" s="13"/>
      <c r="F33" s="13"/>
      <c r="G33" s="13"/>
    </row>
  </sheetData>
  <mergeCells count="1">
    <mergeCell ref="C20:G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instructions</vt:lpstr>
      <vt:lpstr>data</vt:lpstr>
      <vt:lpstr>time_breakdown</vt:lpstr>
      <vt:lpstr>rebuild_counts</vt:lpstr>
      <vt:lpstr>data!ExternalData_11</vt:lpstr>
      <vt:lpstr>data!ExternalData_12</vt:lpstr>
      <vt:lpstr>data!ExternalData_13</vt:lpstr>
      <vt:lpstr>data!ExternalData_14</vt:lpstr>
      <vt:lpstr>data!ExternalData_15</vt:lpstr>
    </vt:vector>
  </TitlesOfParts>
  <Company>IST Austria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BROWN</dc:creator>
  <cp:lastModifiedBy>t35brown</cp:lastModifiedBy>
  <cp:lastPrinted>2018-05-15T15:43:05Z</cp:lastPrinted>
  <dcterms:created xsi:type="dcterms:W3CDTF">2018-05-15T13:15:36Z</dcterms:created>
  <dcterms:modified xsi:type="dcterms:W3CDTF">2019-06-05T22:13:45Z</dcterms:modified>
</cp:coreProperties>
</file>